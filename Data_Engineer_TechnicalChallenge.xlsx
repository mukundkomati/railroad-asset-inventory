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prava-my.sharepoint.com/personal/emily_grenzke_vpra_virginia_gov/Documents/Documents/Hiring/"/>
    </mc:Choice>
  </mc:AlternateContent>
  <xr:revisionPtr revIDLastSave="306" documentId="8_{3C2485FF-0711-4442-B2A2-35D94A1AFB62}" xr6:coauthVersionLast="47" xr6:coauthVersionMax="47" xr10:uidLastSave="{DE1CDC68-3A66-4948-AAA7-8F08DDDE144F}"/>
  <bookViews>
    <workbookView xWindow="-120" yWindow="-120" windowWidth="29040" windowHeight="15720" activeTab="1" xr2:uid="{1177DCAF-7E8A-4B59-86E4-40BBA2F99267}"/>
  </bookViews>
  <sheets>
    <sheet name="Comms and Signals" sheetId="3" r:id="rId1"/>
    <sheet name="TS Program Est" sheetId="2" r:id="rId2"/>
    <sheet name="6YR Structures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\\">#REF!</definedName>
    <definedName name="\z">[1]Saturday!$B$31</definedName>
    <definedName name="_">#REF!</definedName>
    <definedName name="_________new2" localSheetId="0" hidden="1">{#N/A,#N/A,FALSE,"day"}</definedName>
    <definedName name="_________new2" localSheetId="1" hidden="1">{#N/A,#N/A,FALSE,"day"}</definedName>
    <definedName name="_________new2" hidden="1">{#N/A,#N/A,FALSE,"day"}</definedName>
    <definedName name="________new2" localSheetId="0" hidden="1">{#N/A,#N/A,FALSE,"day"}</definedName>
    <definedName name="________new2" localSheetId="1" hidden="1">{#N/A,#N/A,FALSE,"day"}</definedName>
    <definedName name="________new2" hidden="1">{#N/A,#N/A,FALSE,"day"}</definedName>
    <definedName name="_______new2" localSheetId="0" hidden="1">{#N/A,#N/A,FALSE,"day"}</definedName>
    <definedName name="_______new2" localSheetId="1" hidden="1">{#N/A,#N/A,FALSE,"day"}</definedName>
    <definedName name="_______new2" hidden="1">{#N/A,#N/A,FALSE,"day"}</definedName>
    <definedName name="______new2" localSheetId="0" hidden="1">{#N/A,#N/A,FALSE,"day"}</definedName>
    <definedName name="______new2" localSheetId="1" hidden="1">{#N/A,#N/A,FALSE,"day"}</definedName>
    <definedName name="______new2" hidden="1">{#N/A,#N/A,FALSE,"day"}</definedName>
    <definedName name="_____new2" localSheetId="0" hidden="1">{#N/A,#N/A,FALSE,"day"}</definedName>
    <definedName name="_____new2" localSheetId="1" hidden="1">{#N/A,#N/A,FALSE,"day"}</definedName>
    <definedName name="_____new2" hidden="1">{#N/A,#N/A,FALSE,"day"}</definedName>
    <definedName name="____new2" localSheetId="0" hidden="1">{#N/A,#N/A,FALSE,"day"}</definedName>
    <definedName name="____new2" localSheetId="1" hidden="1">{#N/A,#N/A,FALSE,"day"}</definedName>
    <definedName name="____new2" hidden="1">{#N/A,#N/A,FALSE,"day"}</definedName>
    <definedName name="___new2" localSheetId="0" hidden="1">{#N/A,#N/A,FALSE,"day"}</definedName>
    <definedName name="___new2" localSheetId="1" hidden="1">{#N/A,#N/A,FALSE,"day"}</definedName>
    <definedName name="___new2" hidden="1">{#N/A,#N/A,FALSE,"day"}</definedName>
    <definedName name="__123Graph_A" hidden="1">[2]Sept95!#REF!</definedName>
    <definedName name="__123Graph_AMULT" hidden="1">'[3]D - Beta'!$N$247:$N$269</definedName>
    <definedName name="__123Graph_B" hidden="1">[2]Sept95!#REF!</definedName>
    <definedName name="__123Graph_C" hidden="1">[2]Sept95!#REF!</definedName>
    <definedName name="__123Graph_D" hidden="1">[2]Sept95!#REF!</definedName>
    <definedName name="__123Graph_E" hidden="1">[2]Sept95!#REF!</definedName>
    <definedName name="__123Graph_F" hidden="1">[2]Sept95!#REF!</definedName>
    <definedName name="__123Graph_LBL_A" hidden="1">'[3]D - Beta'!$O$247:$O$269</definedName>
    <definedName name="__123Graph_LBL_AMULT" hidden="1">'[3]D - Beta'!$O$247:$O$269</definedName>
    <definedName name="__123Graph_X" hidden="1">[2]Sept95!#REF!</definedName>
    <definedName name="__123Graph_XMULT" hidden="1">'[3]D - Beta'!$M$247:$M$269</definedName>
    <definedName name="__1Table2_" hidden="1">[4]BEV!#REF!</definedName>
    <definedName name="__2_0_Table2_" hidden="1">[4]BEV!#REF!</definedName>
    <definedName name="__5Table2_" hidden="1">[4]BEV!#REF!</definedName>
    <definedName name="__esc5">#REF!</definedName>
    <definedName name="__FDS_HYPERLINK_TOGGLE_STATE__" hidden="1">"ON"</definedName>
    <definedName name="__IntlFixup" hidden="1">TRUE</definedName>
    <definedName name="__IntlFixupTable" hidden="1">#REF!</definedName>
    <definedName name="__new2" localSheetId="0" hidden="1">{#N/A,#N/A,FALSE,"day"}</definedName>
    <definedName name="__new2" localSheetId="1" hidden="1">{#N/A,#N/A,FALSE,"day"}</definedName>
    <definedName name="__new2" hidden="1">{#N/A,#N/A,FALSE,"day"}</definedName>
    <definedName name="__tk1">#REF!</definedName>
    <definedName name="__xlfn.BAHTTEXT" hidden="1">#NAME?</definedName>
    <definedName name="_1__123Graph_ACHART_1" hidden="1">'[5]Cntmrs-Recruit'!$F$20:$Q$20</definedName>
    <definedName name="_10__123Graph_XChart_2A" hidden="1">[6]Cntmrs!$P$19:$S$19</definedName>
    <definedName name="_10_0_Table2_" hidden="1">[4]BEV!#REF!</definedName>
    <definedName name="_11_0_Table2_" hidden="1">[4]BEV!#REF!</definedName>
    <definedName name="_12_0_Table2_" hidden="1">[4]BEV!#REF!</definedName>
    <definedName name="_123Graph_A" hidden="1">[2]Sept95!#REF!</definedName>
    <definedName name="_1Table2_" hidden="1">[4]BEV!#REF!</definedName>
    <definedName name="_2__123Graph_AChart_1A" hidden="1">[6]Cntmrs!$B$20:$M$20</definedName>
    <definedName name="_2_0_Table2_" hidden="1">[4]BEV!#REF!</definedName>
    <definedName name="_3__123Graph_ACHART_2" hidden="1">'[5]Cntmrs-Recruit'!$R$20:$T$20</definedName>
    <definedName name="_3_0_Table2_" hidden="1">[4]BEV!#REF!</definedName>
    <definedName name="_3S" hidden="1">[7]FINANCIALS!#REF!</definedName>
    <definedName name="_4__123Graph_AChart_2A" hidden="1">[6]Cntmrs!$P$20:$S$20</definedName>
    <definedName name="_4S" hidden="1">[7]FINANCIALS!#REF!</definedName>
    <definedName name="_4Table2_" hidden="1">[4]BEV!#REF!</definedName>
    <definedName name="_5__123Graph_BCHART_1" hidden="1">'[5]Cntmrs-Recruit'!$F$21:$Q$21</definedName>
    <definedName name="_5Table2_" hidden="1">[4]BEV!#REF!</definedName>
    <definedName name="_6__123Graph_BChart_1A" hidden="1">[6]Cntmrs!$B$21:$M$21</definedName>
    <definedName name="_6_0_S" hidden="1">[7]FINANCIALS!#REF!</definedName>
    <definedName name="_6Table2_" hidden="1">[4]BEV!#REF!</definedName>
    <definedName name="_7__123Graph_CCHART_1" hidden="1">'[5]Cntmrs-Recruit'!$F$22:$Q$22</definedName>
    <definedName name="_7_0_S" hidden="1">[7]FINANCIALS!#REF!</definedName>
    <definedName name="_7_0_Table2_" hidden="1">[4]BEV!#REF!</definedName>
    <definedName name="_8__123Graph_CChart_1A" hidden="1">[6]Cntmrs!$B$22:$M$22</definedName>
    <definedName name="_8_0_S" hidden="1">[7]FINANCIALS!#REF!</definedName>
    <definedName name="_8_0_Table2_" hidden="1">[4]BEV!#REF!</definedName>
    <definedName name="_9__123Graph_XChart_1A" hidden="1">[6]Cntmrs!$B$19:$M$19</definedName>
    <definedName name="_9_0_Table2_" hidden="1">[4]BEV!#REF!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Dist_Values" hidden="1">[8]BS!#REF!</definedName>
    <definedName name="_esc5">#REF!</definedName>
    <definedName name="_Fill" hidden="1">#REF!</definedName>
    <definedName name="_GSRATES_1" hidden="1">"CT30000120061231        "</definedName>
    <definedName name="_GSRATES_COUNT" hidden="1">1</definedName>
    <definedName name="_Key1" hidden="1">'[9]Retail Rx Volume'!$D$9</definedName>
    <definedName name="_Key2" hidden="1">#REF!</definedName>
    <definedName name="_MatMult_B" hidden="1">#REF!</definedName>
    <definedName name="_new1" localSheetId="0" hidden="1">{#N/A,#N/A,FALSE,"day"}</definedName>
    <definedName name="_new1" localSheetId="1" hidden="1">{#N/A,#N/A,FALSE,"day"}</definedName>
    <definedName name="_new1" hidden="1">{#N/A,#N/A,FALSE,"day"}</definedName>
    <definedName name="_new2" localSheetId="0" hidden="1">{#N/A,#N/A,FALSE,"day"}</definedName>
    <definedName name="_new2" localSheetId="1" hidden="1">{#N/A,#N/A,FALSE,"day"}</definedName>
    <definedName name="_new2" hidden="1">{#N/A,#N/A,FALSE,"day"}</definedName>
    <definedName name="_new3" localSheetId="0" hidden="1">{#N/A,#N/A,FALSE,"day"}</definedName>
    <definedName name="_new3" localSheetId="1" hidden="1">{#N/A,#N/A,FALSE,"day"}</definedName>
    <definedName name="_new3" hidden="1">{#N/A,#N/A,FALSE,"day"}</definedName>
    <definedName name="_Order1" hidden="1">0</definedName>
    <definedName name="_Order1a" hidden="1">0</definedName>
    <definedName name="_Order2" hidden="1">255</definedName>
    <definedName name="_Parse_Out" hidden="1">#REF!</definedName>
    <definedName name="_sga" hidden="1">#REF!</definedName>
    <definedName name="_Sort" hidden="1">'[9]Retail Rx Volume'!$B$9:$AQ$331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k1">#REF!</definedName>
    <definedName name="_xlcn.WorksheetConnection_20230815_FY24CapChargeAnalysis_v04.01.xlsx_3___Cost_to_Equipment1" localSheetId="0" hidden="1">_3___Cost_to_Equipment</definedName>
    <definedName name="_xlcn.WorksheetConnection_20230815_FY24CapChargeAnalysis_v04.01.xlsx_3___Cost_to_Equipment1" localSheetId="1" hidden="1">_3___Cost_to_Equipment</definedName>
    <definedName name="_xlcn.WorksheetConnection_20230815_FY24CapChargeAnalysis_v04.01.xlsx_3___Cost_to_Equipment1" hidden="1">_3___Cost_to_Equipment</definedName>
    <definedName name="A">#REF!</definedName>
    <definedName name="aa" hidden="1">134217767</definedName>
    <definedName name="AA.Report.Files" hidden="1">#REF!</definedName>
    <definedName name="AA.Reports.Available" hidden="1">#REF!</definedName>
    <definedName name="AAA_DOCTOPS" hidden="1">"AAA_SET"</definedName>
    <definedName name="AAA_duser" hidden="1">"OFF"</definedName>
    <definedName name="aaaaa">[10]Saturday!$B$27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[11]TB!#REF!</definedName>
    <definedName name="AccessDatabase" hidden="1">"S:\Capital Accounting\Cherie\Test File for Caps.xls"</definedName>
    <definedName name="adfadf" hidden="1">#REF!</definedName>
    <definedName name="ADIRON_Cum">#REF!</definedName>
    <definedName name="ADIRON_Month">#REF!</definedName>
    <definedName name="Adirondack">[12]Factors!$B$3</definedName>
    <definedName name="ADJ_CALC">'[13]Adj Calc'!$A$15:$J$31</definedName>
    <definedName name="AdjacentTrackMile">#REF!</definedName>
    <definedName name="ADPCost2009" hidden="1">'[9]Retail Rx Volume'!$D$9</definedName>
    <definedName name="AlbanyTor">[14]Factors!$B$3</definedName>
    <definedName name="Amount">#REF!</definedName>
    <definedName name="Amtrak_Rev" hidden="1">#REF!</definedName>
    <definedName name="ANC_1">#REF!</definedName>
    <definedName name="ANC_2">#REF!</definedName>
    <definedName name="Answer">INDEX(#REF!,1,1):INDEX(#REF!,COUNTA(#REF!))</definedName>
    <definedName name="Answer2">INDEX(#REF!,1,1):INDEX(#REF!,COUNTA(#REF!))</definedName>
    <definedName name="approvla" localSheetId="0" hidden="1">{#N/A,#N/A,FALSE,"Cosmos Report"}</definedName>
    <definedName name="approvla" localSheetId="1" hidden="1">{#N/A,#N/A,FALSE,"Cosmos Report"}</definedName>
    <definedName name="approvla" hidden="1">{#N/A,#N/A,FALSE,"Cosmos Report"}</definedName>
    <definedName name="april" localSheetId="0" hidden="1">{#N/A,#N/A,FALSE,"day"}</definedName>
    <definedName name="april" localSheetId="1" hidden="1">{#N/A,#N/A,FALSE,"day"}</definedName>
    <definedName name="april" hidden="1">{#N/A,#N/A,FALSE,"day"}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hidden="1">'[15]450'!#REF!</definedName>
    <definedName name="asdf234" hidden="1">#REF!</definedName>
    <definedName name="asdfDFQ34" hidden="1">'[15]450'!#REF!</definedName>
    <definedName name="Asst_Con">#REF!</definedName>
    <definedName name="ATSeXToEUR" localSheetId="0" hidden="1">1/EUReXToATS</definedName>
    <definedName name="ATSeXToEUR" localSheetId="1" hidden="1">1/EUReXToATS</definedName>
    <definedName name="ATSeXToEUR" hidden="1">1/EUReXToATS</definedName>
    <definedName name="Autotrain">[16]Factors!$B$3</definedName>
    <definedName name="b" localSheetId="0" hidden="1">1/EUReXToFRF</definedName>
    <definedName name="b" localSheetId="1" hidden="1">1/EUReXToFRF</definedName>
    <definedName name="b" hidden="1">1/EUReXToFRF</definedName>
    <definedName name="Base_Data_Input_Page">#REF!</definedName>
    <definedName name="BB">#REF!</definedName>
    <definedName name="BCHART" hidden="1">'[17]Cntmrs-Recruit'!$F$20:$Q$20</definedName>
    <definedName name="BEFeXToEUR" localSheetId="0" hidden="1">1/EUReXToBEF</definedName>
    <definedName name="BEFeXToEUR" localSheetId="1" hidden="1">1/EUReXToBEF</definedName>
    <definedName name="BEFeXToEUR" hidden="1">1/EUReXToBEF</definedName>
    <definedName name="Benefits_Realized">[18]ROI!#REF!</definedName>
    <definedName name="BG_Del" hidden="1">15</definedName>
    <definedName name="BG_Ins" hidden="1">4</definedName>
    <definedName name="BG_Mod" hidden="1">6</definedName>
    <definedName name="BIList">[18]List_Data!$A$127:$A$134</definedName>
    <definedName name="Bluewater">[19]Factors!$B$3</definedName>
    <definedName name="BPC2Share">[20]BPC!$D$19:$I$119</definedName>
    <definedName name="BusLine1">'[21]30 CarTypes'!$I$14</definedName>
    <definedName name="BusLine2">'[21]30 CarTypes'!$I$15</definedName>
    <definedName name="BusLine3">'[21]30 CarTypes'!$I$16</definedName>
    <definedName name="CA">[22]Factors!$B$3</definedName>
    <definedName name="Capitol">[23]Factors!$B$3</definedName>
    <definedName name="CapitolCorr">[24]Factors!$B$3</definedName>
    <definedName name="Cardinal">[25]Factors!$B$3</definedName>
    <definedName name="Cars">[26]Weight!$F$10:$G$150</definedName>
    <definedName name="CarsDb">[27]CarsDb!$A$5:$O$59</definedName>
    <definedName name="Cascades">[28]Factors!$B$3</definedName>
    <definedName name="Cash___ROI_Statement">[18]ROI!#REF!</definedName>
    <definedName name="cat">#REF!</definedName>
    <definedName name="CAZephyr">[22]Factors!$B$3</definedName>
    <definedName name="cc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cc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cc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CE_Path">"'" &amp;#REF! &amp; "'"</definedName>
    <definedName name="CE_ProjSum">[29]!ProjectCosts[#Data]</definedName>
    <definedName name="Chicagost.louis">[30]Factors!$B$3</definedName>
    <definedName name="CIQWBGuid" hidden="1">"600c01de-afa5-4c0c-993e-dee75f238704"</definedName>
    <definedName name="Cities">#REF!</definedName>
    <definedName name="Classes" hidden="1">#REF!</definedName>
    <definedName name="CLOCK_Cum">#REF!</definedName>
    <definedName name="CLOCK_Month">#REF!</definedName>
    <definedName name="CNO">[31]Factors!$B$3</definedName>
    <definedName name="Compensation_Revenue">#REF!</definedName>
    <definedName name="CONTROL_LINE_TABLE">#REF!</definedName>
    <definedName name="CORP_1">#REF!</definedName>
    <definedName name="CORP_10">#REF!</definedName>
    <definedName name="CORP_10A">#REF!</definedName>
    <definedName name="CORP_10B">#REF!</definedName>
    <definedName name="CORP_2">#REF!</definedName>
    <definedName name="CORP_3">#REF!</definedName>
    <definedName name="CORP_4">#REF!</definedName>
    <definedName name="CORP_5">#REF!</definedName>
    <definedName name="CORP_6">#REF!</definedName>
    <definedName name="CORP_7">#REF!</definedName>
    <definedName name="CORP_8">#REF!</definedName>
    <definedName name="CORP_9">#REF!</definedName>
    <definedName name="CORP_9A">#REF!</definedName>
    <definedName name="CORP_9B">#REF!</definedName>
    <definedName name="Cost_of_Vacancy_of_Sales_and_Service_Employees">#REF!</definedName>
    <definedName name="CP">'[32]Setup Info'!$B$9</definedName>
    <definedName name="Crescent">[33]Factors!$B$3</definedName>
    <definedName name="crit01">#REF!</definedName>
    <definedName name="crit01a">#REF!</definedName>
    <definedName name="crit02">#REF!</definedName>
    <definedName name="crit03">#REF!</definedName>
    <definedName name="crit04">#REF!</definedName>
    <definedName name="crit06">#REF!</definedName>
    <definedName name="crit06a">#REF!</definedName>
    <definedName name="crit07">#REF!</definedName>
    <definedName name="crit08">#REF!</definedName>
    <definedName name="crit09">#REF!</definedName>
    <definedName name="crit10">#REF!</definedName>
    <definedName name="crit11">#REF!</definedName>
    <definedName name="crit14">[34]Seg_Summary_AmkOwned!$P$35:$P$36</definedName>
    <definedName name="crit15">#REF!</definedName>
    <definedName name="crit17">#REF!</definedName>
    <definedName name="_xlnm.Criteria">#REF!</definedName>
    <definedName name="Criteria1">#REF!</definedName>
    <definedName name="CS">#REF!</definedName>
    <definedName name="Currency">'[35]Jul 10-APT Rev Rte 35'!#REF!</definedName>
    <definedName name="Current_Year">'[36]Page 7'!$AH$34</definedName>
    <definedName name="Current_Year2">'[36]Page 8'!$AH$34</definedName>
    <definedName name="CY">'[32]Setup Info'!$B$7</definedName>
    <definedName name="CY_Actuals">'[32]08 Detail'!$H$7</definedName>
    <definedName name="Data">#REF!</definedName>
    <definedName name="Data.Dump" hidden="1">OFFSET([37]!Data.Top.Left,1,0)</definedName>
    <definedName name="Data.Dump2" hidden="1">OFFSET([38]!Data.Top.Left,1,0)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2">#REF!</definedName>
    <definedName name="Database.File" hidden="1">#REF!</definedName>
    <definedName name="DataExtract">#REF!</definedName>
    <definedName name="DataOrigin" hidden="1">'[39]HP Detail'!#REF!</definedName>
    <definedName name="db">'[40]Segment Details_db'!$A$3:$P$57</definedName>
    <definedName name="dddd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d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d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dd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dd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dd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EMeXToEUR" localSheetId="0" hidden="1">1/EUReXToDEM</definedName>
    <definedName name="DEMeXToEUR" localSheetId="1" hidden="1">1/EUReXToDEM</definedName>
    <definedName name="DEMeXToEUR" hidden="1">1/EUReXToDEM</definedName>
    <definedName name="dev_tech" hidden="1">[41]BEV!#REF!</definedName>
    <definedName name="Direct_Savings_from_ASP_strategy">#REF!</definedName>
    <definedName name="Direction">[18]List_Data!$B$14:$B$18</definedName>
    <definedName name="DisplayResults">[18]List_Data!$A$115:$A$117</definedName>
    <definedName name="dist_vlalue" hidden="1">[8]BS!#REF!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"::ODMA\DME-MSE\TAX-27764"</definedName>
    <definedName name="DME_DocumentOpened" hidden="1">"True"</definedName>
    <definedName name="DME_DocumentTitle" hidden="1">"TAX-27764 - Poodle Values Final (NMW-Apr 29 execution)"</definedName>
    <definedName name="DME_LocalFile" hidden="1">"True"</definedName>
    <definedName name="DME_NextWindowNumber" hidden="1">"2"</definedName>
    <definedName name="Do_you_wish_to_include_timeliness_and_adequacy_calculation?">#REF!</definedName>
    <definedName name="Downeaster">[42]Factors!$B$3</definedName>
    <definedName name="DOWNLOAD1">#REF!</definedName>
    <definedName name="DOWNLOAD2">#REF!</definedName>
    <definedName name="ef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ef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ef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Empir">[43]Factors!$B$3</definedName>
    <definedName name="EMPIRE_Cum">#REF!</definedName>
    <definedName name="EMPIRE_Month">#REF!</definedName>
    <definedName name="Eng">#REF!</definedName>
    <definedName name="Eno_TM">'[44]1997  Table 1a Modified'!#REF!</definedName>
    <definedName name="Eno_Tons">'[44]1997  Table 1a Modified'!#REF!</definedName>
    <definedName name="Enter_number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4" hidden="1">"vsgXE1I8kWYhm0UbUBN53xvy9wKyfH/8vZfHr05fvPn2Lv369PTlq9//zZdvjp+TUPbeHOjh20VeZ/V0fu2apqTxHi2L8rOPwBQfRUfJ70bm5HbvPr67eeyP796GiN6c/uxx4evXp0Ts5/TzA3jwwe7uwYO92/Pgvf+X86AjSsiBx8+f//7el6evf8SIfrNbtRpgxJMvXxNVidCnr37/0w9hxf393Yf3bs+K+//vZsWALH1m9L7+ES8GzW7V"</definedName>
    <definedName name="EPMWorkbookOptions_5" hidden="1">"aogXv3pFVD75fb42G5JC3Dk4eHB7Lnzw/3IuVIKEDPjm5Ecs5ze7VasBlnt6/Ob49auTD/UGd3Y+/fTevZ3bM97B/7sZLyBLX/3p1z9iQ7/ZrVoNsOHzsxenv//Zm9Mvvj4LvndA8vD/3SxoSdJnP/fVjxjQa3arVgMM+PLVl985PXnztdnv3t6n+++h/nb/3817So0+5+kXP/L5gma3arWZ8X7/12+O33z19WPhe3v3d98j+tj7/wT/KVH6"</definedName>
    <definedName name="EPMWorkbookOptions_6" hidden="1">"bCif/ygMDpvdqtUAG745++LrR78H9x7s7X76Hurv/u3Z7yjLH04ePtx/uD2bTO5t79/fPdienD/ItrNPZ/cmD+/d39s7n6Hn8K0fOsuCgCGj7u3sfjr+/0Xa8Bulye7/P2jy/x7R/UnKwZx9+eJrS+/e/U9vL7k7//+TXKVfyKjPTijB9ez32f3099+59/91Vv1GCXN88uarH0lv2OxWrQak94vT49dfvTr9+p7fwb379z/dP7i9CO++hwxv"</definedName>
    <definedName name="EPMWorkbookOptions_7" hidden="1">"cv5+tuTRUISYDax3+ursy6dnP8q1vFejAJt4o8d3j1ersphmLcGxnwefmuYErVouCXH67GnWZvyx/+Gbqjv4x6/y8zpv5l8uv1zlS7OUHn7I7U7KPKsB9Mvl6+wyNy27H3Pb71b120lVvSXubJmMpnX/C25/1vxkVhfZpMy/yOsL17z3+W+cOBhfrmTo/w8HUZnX3yIAAA=="</definedName>
    <definedName name="EPMWorkbookOptions_8" hidden="1">"9ydPX70++/LFD1F2P30P2f3/yEqlEjHk1mcntKDw7PfZ/fT339n//zq//qwQ5v7vv/PwR4SJEmb3//PLTd8oYY5P3nz1I6UfNrtVqwGl/8Xp8euvXp2+/iFq/QfvofX/P+KxGSoSg4JdT1+dffn07EeZtfdqFGATb/T47vFqVRbTrCU49vPgU9OcoFXLJSFOnz3N2ow/9j98U3UH//hVfl7nzfzL5ZerfHl0npVN/vhu+CG3OynzrAbQL5ev"</definedName>
    <definedName name="EPMWorkbookOptions_9" hidden="1">"s8vctOx+zG2/W9VvJ1X1lnizZTKa1v0vwvZXM521x2fNT2Z1kU3K/Iu8vnAQep//xokD++VKqPH/AF43VDQpOQAA"</definedName>
    <definedName name="Escal">#REF!</definedName>
    <definedName name="Escalations">#REF!</definedName>
    <definedName name="ESPeXToEUR" localSheetId="0" hidden="1">1/EUReXToESP</definedName>
    <definedName name="ESPeXToEUR" localSheetId="1" hidden="1">1/EUReXToESP</definedName>
    <definedName name="ESPeXToEUR" hidden="1">1/EUReXToESP</definedName>
    <definedName name="Estimate_of_Average_Annual_Capital_Funding_Requirements_by_Source">"PrintRangeSumbySource"</definedName>
    <definedName name="ET">#REF!</definedName>
    <definedName name="Ethan">[45]Factors!$B$3</definedName>
    <definedName name="Ethan_Allen_Express">#REF!</definedName>
    <definedName name="EV__CVPARAMS__" hidden="1">"Any by Any!$B$17:$C$38;"</definedName>
    <definedName name="EV__DECIMALSYMBOL__" hidden="1">"."</definedName>
    <definedName name="EV__EVCOM_OPTIONS__" hidden="1">8</definedName>
    <definedName name="EV__EXPOPTIONS__" hidden="1">1</definedName>
    <definedName name="EV__LASTREFTIME__" hidden="1">41750.6452199073</definedName>
    <definedName name="EV__LASTREFTIME___1" hidden="1">41588.3868865741</definedName>
    <definedName name="EV__LEVEL__" hidden="1">2</definedName>
    <definedName name="EV__LOCKEDCVW__BALSHEET" hidden="1">"214001,actual,CONSOL,2011.Jan,ytd,"</definedName>
    <definedName name="EV__LOCKEDCVW__CAPITAL" hidden="1">"840300,All_BL,Actual,All_FN,CP_AT,All_RC,2011.FY,All_WE,PERIODIC,"</definedName>
    <definedName name="EV__LOCKEDCVW__COMMUTER" hidden="1">"All_BL,Budget,600003,All_RC,0102.FY,All_FN,All_LC,All_WE,PERIODIC,"</definedName>
    <definedName name="EV__LOCKEDCVW__EQUIP" hidden="1">"600003,All_BL,Budget,All_EXP,All_FN,All_RC,1999.FY,All_WE,PERIODIC,"</definedName>
    <definedName name="EV__LOCKEDCVW__FINANCE" hidden="1">"AC_730110,Budget,CC_All_CC,Tot_CO_FI_FIS,EM_All_EM,IO_All_IO,LC_All_LC,PC_All_PC,PR_ALL,2012.OCT,APT_All_APT,UN_All_UN,W_All_W,WE_All_WE,Periodic,"</definedName>
    <definedName name="EV__LOCKEDCVW__FIS" hidden="1">"840300,all_bl,actual,All_FN,All_LC,rc1303,2011.fy,All_RT,periodic,"</definedName>
    <definedName name="EV__LOCKEDCVW__FIS_INPUT" hidden="1">"600003,ALL_BL,BUDGET,ALL_FN,ALL_LC,ALL_RC,1999.FY,ALL_RT,PERIODIC,"</definedName>
    <definedName name="EV__LOCKEDCVW__HEADS" hidden="1">"All_BL,adj12_16,ALL_CH,All_Jobs,ATP,rc9275,2012.FY,PERIODIC,"</definedName>
    <definedName name="EV__LOCKEDCVW__RATE" hidden="1">"Actual,All_RC,2010.fy,Fringe_Exempt,PERIODIC,"</definedName>
    <definedName name="EV__LOCKEDCVW__RPS" hidden="1">"Budget,850010,All_FN,All_LN,All_RC,1999.FY,All_RT,PERIODIC,"</definedName>
    <definedName name="EV__LOCKEDCVW__RPS_ALLOC" hidden="1">"All_RT,Budget,All_LN,All_RC,1999.FY,PERIODIC,"</definedName>
    <definedName name="EV__LOCKEDCVW__RPS_EXTRN" hidden="1">"850010,Budget,All_FN,All_LN,All_RC,1999.FY,PERIODIC,"</definedName>
    <definedName name="EV__LOCKEDCVW__SS_403B" hidden="1">"Budget,850010,All_FN,All_LN,All_RC,All_RT,1999.FY,PERIODIC,"</definedName>
    <definedName name="EV__LOCKSTATUS__" hidden="1">1</definedName>
    <definedName name="EV__MAXEXPCOLS__" hidden="1">150</definedName>
    <definedName name="EV__MAXEXPROWS__" hidden="1">65535</definedName>
    <definedName name="EV__MAXRATE__" hidden="1">0.2</definedName>
    <definedName name="EV__MAXREQ__" hidden="1">1000</definedName>
    <definedName name="EV__MAXTUPLE__" hidden="1">2000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134217783</definedName>
    <definedName name="EV__WBVERSION__" hidden="1">0</definedName>
    <definedName name="expense_inflation">#REF!</definedName>
    <definedName name="Express">#REF!</definedName>
    <definedName name="External_Time_to_Start__Total">#REF!</definedName>
    <definedName name="fffff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fff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fff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ffffffff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Fig1_table">[36]Data!$A$41:$F$353</definedName>
    <definedName name="Fig2_table">[36]Data!$A$361:$F$397</definedName>
    <definedName name="File">[46]Factors!$B$3</definedName>
    <definedName name="File.Type" hidden="1">#REF!</definedName>
    <definedName name="FIMeXToEUR" localSheetId="0" hidden="1">1/EUReXToFIM</definedName>
    <definedName name="FIMeXToEUR" localSheetId="1" hidden="1">1/EUReXToFIM</definedName>
    <definedName name="FIMeXToEUR" hidden="1">1/EUReXToFIM</definedName>
    <definedName name="ForecastYear">[18]List_Data!$A$120:$A$124</definedName>
    <definedName name="Frequency">[18]List_Data!$B$21:$B$37</definedName>
    <definedName name="FRFeXToEUR" localSheetId="0" hidden="1">1/EUReXToFRF</definedName>
    <definedName name="FRFeXToEUR" localSheetId="1" hidden="1">1/EUReXToFRF</definedName>
    <definedName name="FRFeXToEUR" hidden="1">1/EUReXToFRF</definedName>
    <definedName name="FT_AllRail">'[47]Future Trips'!$T$3:$T$6443</definedName>
    <definedName name="FT_Short_Riders">'[47]Future Trips'!$C$6447:$C$6870</definedName>
    <definedName name="FT_Short_Stations">'[47]Future Trips'!$B$6447:$B$6870</definedName>
    <definedName name="FT_Stations">'[47]Future Trips'!$B$3:$B$6443</definedName>
    <definedName name="FY02_Connecting">#REF!</definedName>
    <definedName name="FY02_RiderREV_FromRoute">#REF!</definedName>
    <definedName name="FY02_RiderREV_ToRoute">#REF!</definedName>
    <definedName name="FY02_Riderstats_RA">#REF!</definedName>
    <definedName name="FY03_Connecting">#REF!</definedName>
    <definedName name="FY03_RiderRev_FromRoute">#REF!</definedName>
    <definedName name="FY03_RiderRev_ToRoute">#REF!</definedName>
    <definedName name="FY03_Riderstats_RA">#REF!</definedName>
    <definedName name="FY04_Capital">#REF!</definedName>
    <definedName name="FY04_Riderstats">#REF!</definedName>
    <definedName name="gfgfsd" hidden="1">'[48]Balance sheet'!#REF!</definedName>
    <definedName name="ggg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gg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gg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gggggg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gggggg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gggggg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ARBB">#REF!</definedName>
    <definedName name="HARCom">#REF!</definedName>
    <definedName name="HARET">#REF!</definedName>
    <definedName name="HARSig">#REF!</definedName>
    <definedName name="HARTK">#REF!</definedName>
    <definedName name="Headcount2000" localSheetId="0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dcount2000" localSheetId="1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dcount2000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dcount2001" localSheetId="0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dcount2001" localSheetId="1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dcount2001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Heartland">[49]Factors!$B$3</definedName>
    <definedName name="hgfhgfdh" hidden="1">[50]BS!#REF!</definedName>
    <definedName name="hhh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hh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hh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iawtha">[51]Factors!$B$3</definedName>
    <definedName name="hkshd" hidden="1">'[52]BZDIOVRA Index'!$H$3</definedName>
    <definedName name="Home">#REF!</definedName>
    <definedName name="Hoosier">[53]Factors!$B$3</definedName>
    <definedName name="HTML_CodePage" hidden="1">1252</definedName>
    <definedName name="HTML_Control" localSheetId="0" hidden="1">{"'Leverage'!$B$2:$M$418"}</definedName>
    <definedName name="HTML_Control" localSheetId="1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uman_Capital_Income_Statement">#REF!</definedName>
    <definedName name="Human_Capital_Return_On_Investment">#REF!</definedName>
    <definedName name="IEPeXToEUR" localSheetId="0" hidden="1">1/EUReXToIEP</definedName>
    <definedName name="IEPeXToEUR" localSheetId="1" hidden="1">1/EUReXToIEP</definedName>
    <definedName name="IEPeXToEUR" hidden="1">1/EUReXToIEP</definedName>
    <definedName name="IGNORE" hidden="1">39149.5435532407</definedName>
    <definedName name="Illini">[54]Factors!$B$3</definedName>
    <definedName name="IllinoisZephyr">[55]Factors!$B$3</definedName>
    <definedName name="Import">#REF!</definedName>
    <definedName name="ImportGalloway">'[56]Sheet2 (2)'!$A$3:$N$2797</definedName>
    <definedName name="IMPROVEMENT_COST_SUMMARY">#REF!</definedName>
    <definedName name="In_Svc">#REF!</definedName>
    <definedName name="In_Svc1">#REF!</definedName>
    <definedName name="InflationAssumps">[18]List_Data!$A$140:$A$141</definedName>
    <definedName name="INFR_1">#REF!</definedName>
    <definedName name="INFR_2">#REF!</definedName>
    <definedName name="INFR_3">#REF!</definedName>
    <definedName name="INFR_4">#REF!</definedName>
    <definedName name="Input">#REF!</definedName>
    <definedName name="Intangible_Benefits_Summary">#REF!</definedName>
    <definedName name="IntroPrintArea" hidden="1">#REF!</definedName>
    <definedName name="Investments_Working" hidden="1">'[57]TRIAL BALANCE'!#REF!</definedName>
    <definedName name="IOSummary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40721.7072106482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39117.0007060185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LeXToEUR" localSheetId="0" hidden="1">1/EUReXToITL</definedName>
    <definedName name="ITLeXToEUR" localSheetId="1" hidden="1">1/EUReXToITL</definedName>
    <definedName name="ITLeXToEUR" hidden="1">1/EUReXToITL</definedName>
    <definedName name="j" localSheetId="0" hidden="1">{"unhide",#N/A,FALSE,"Sheet1"}</definedName>
    <definedName name="j" localSheetId="1" hidden="1">{"unhide",#N/A,FALSE,"Sheet1"}</definedName>
    <definedName name="j" hidden="1">{"unhide",#N/A,FALSE,"Sheet1"}</definedName>
    <definedName name="Jan" hidden="1">#N/A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localSheetId="0" hidden="1">{#N/A,#N/A,FALSE,"day"}</definedName>
    <definedName name="jj" localSheetId="1" hidden="1">{#N/A,#N/A,FALSE,"day"}</definedName>
    <definedName name="jj" hidden="1">{#N/A,#N/A,FALSE,"day"}</definedName>
    <definedName name="K2__CVPARAMS__" hidden="1">"Any by Any!$B$17:$C$38;"</definedName>
    <definedName name="K2__MAXEXPCOLS__" hidden="1">100</definedName>
    <definedName name="K2__MAXEXPROWS__" hidden="1">65000</definedName>
    <definedName name="K2__WBEVMODE__" hidden="1">0</definedName>
    <definedName name="K2__WBREFOPTIONS__" hidden="1">134217735</definedName>
    <definedName name="K2_WBEVMODE" hidden="1">0</definedName>
    <definedName name="kansas">[58]Factors!$B$3</definedName>
    <definedName name="KEY_Cum">#REF!</definedName>
    <definedName name="KEY_Month">#REF!</definedName>
    <definedName name="Keystone">[59]Factors!$B$3</definedName>
    <definedName name="kkkkkkk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kkkkkkk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kkkkkkk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akeshore">[60]Factors!$B$3</definedName>
    <definedName name="LD">'[61]LN190 Dump'!$E$12:$AX$166</definedName>
    <definedName name="LD_1">#REF!</definedName>
    <definedName name="LD_2">#REF!</definedName>
    <definedName name="LD_2A">#REF!</definedName>
    <definedName name="LD_2B">#REF!</definedName>
    <definedName name="LD_3">#REF!</definedName>
    <definedName name="LeadAgency">INDEX(#REF!,1,1):INDEX(#REF!,COUNTA(#REF!))</definedName>
    <definedName name="List_Inflated">#REF!</definedName>
    <definedName name="ListOffset" hidden="1">1</definedName>
    <definedName name="lll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lllllllllllllllll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lllllllllllllllll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llllllllllllllll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O">[26]Weight!$D$10:$E$150</definedName>
    <definedName name="lolo" hidden="1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[27]RidershipProjections!$H$3:$J$21</definedName>
    <definedName name="LookUPAJGExist">[62]Corridors!$B$12:$BI$45</definedName>
    <definedName name="LookUpScores">[63]Lookups!$C$15:$I$166</definedName>
    <definedName name="LookupSeg">[27]ServicesDb!$D$12:$F$145</definedName>
    <definedName name="LS">#REF!</definedName>
    <definedName name="LSTALLPROJECT">#REF!</definedName>
    <definedName name="lstAllProjects">#REF!</definedName>
    <definedName name="LUFeXToEUR" localSheetId="0" hidden="1">1/EUReXToLUF</definedName>
    <definedName name="LUFeXToEUR" localSheetId="1" hidden="1">1/EUReXToLUF</definedName>
    <definedName name="LUFeXToEUR" hidden="1">1/EUReXToLUF</definedName>
    <definedName name="m" localSheetId="0" hidden="1">{#N/A,#N/A,FALSE,"Headct. Pie";#N/A,#N/A,FALSE,"Proj-Clin";#N/A,#N/A,FALSE,"Proj-Dev";#N/A,#N/A,FALSE,"Proj-Overall";#N/A,#N/A,FALSE,"Proj-Res"}</definedName>
    <definedName name="m" localSheetId="1" hidden="1">{#N/A,#N/A,FALSE,"Headct. Pie";#N/A,#N/A,FALSE,"Proj-Clin";#N/A,#N/A,FALSE,"Proj-Dev";#N/A,#N/A,FALSE,"Proj-Overall";#N/A,#N/A,FALSE,"Proj-Res"}</definedName>
    <definedName name="m" hidden="1">{#N/A,#N/A,FALSE,"Headct. Pie";#N/A,#N/A,FALSE,"Proj-Clin";#N/A,#N/A,FALSE,"Proj-Dev";#N/A,#N/A,FALSE,"Proj-Overall";#N/A,#N/A,FALSE,"Proj-Res"}</definedName>
    <definedName name="Macro1">#N/A</definedName>
    <definedName name="Macro2">#N/A</definedName>
    <definedName name="MET_Cum">#REF!</definedName>
    <definedName name="MET_Month">#REF!</definedName>
    <definedName name="MEWarning" hidden="1">1</definedName>
    <definedName name="MF_BOSNYP">#REF!</definedName>
    <definedName name="MF_NYPBOS">#REF!</definedName>
    <definedName name="MF_NYPWAS">#REF!</definedName>
    <definedName name="MF_WASNYP">#REF!</definedName>
    <definedName name="MILEAGE">#REF!</definedName>
    <definedName name="MILES_REPORT">#REF!</definedName>
    <definedName name="Months">#REF!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" hidden="1">39598.6172685185</definedName>
    <definedName name="nana" hidden="1">39580.6645486111</definedName>
    <definedName name="NEC">'[64]30 CarTypes'!$I$14</definedName>
    <definedName name="NEC_1">#REF!</definedName>
    <definedName name="NEC_2">#REF!</definedName>
    <definedName name="NEC_3">#REF!</definedName>
    <definedName name="NEC_4">#REF!</definedName>
    <definedName name="NEC_Cum">#REF!</definedName>
    <definedName name="NEC_Month">#REF!</definedName>
    <definedName name="NECBB">#REF!</definedName>
    <definedName name="NECCom">#REF!</definedName>
    <definedName name="NECET">#REF!</definedName>
    <definedName name="NECLS">#REF!</definedName>
    <definedName name="NECOTH">#REF!</definedName>
    <definedName name="necreqprint">[65]!necreqprint</definedName>
    <definedName name="NECSig">#REF!</definedName>
    <definedName name="NECTK">#REF!</definedName>
    <definedName name="NED_Cum">#REF!</definedName>
    <definedName name="NED_Month">#REF!</definedName>
    <definedName name="New">[66]Factors!$B$3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name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name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name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TrkMileNewROW">#REF!</definedName>
    <definedName name="NewTrkMileOldROW">#REF!</definedName>
    <definedName name="NLGeXToEUR" localSheetId="0" hidden="1">1/EUReXToNLG</definedName>
    <definedName name="NLGeXToEUR" localSheetId="1" hidden="1">1/EUReXToNLG</definedName>
    <definedName name="NLGeXToEUR" hidden="1">1/EUReXToNLG</definedName>
    <definedName name="no" hidden="1">[2]Sept95!#REF!</definedName>
    <definedName name="NonHome">#REF!</definedName>
    <definedName name="nonon" hidden="1">[2]Sept95!#REF!</definedName>
    <definedName name="Nothing" hidden="1">42307.4414814815</definedName>
    <definedName name="OKA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KA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KA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ld" hidden="1">39890.4030092593</definedName>
    <definedName name="oooo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ooo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ooo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Operating_Expense_Factor">#REF!</definedName>
    <definedName name="OTH">#REF!</definedName>
    <definedName name="OTP">#REF!</definedName>
    <definedName name="Output">#REF!</definedName>
    <definedName name="Ownership" hidden="1">OFFSET([37]!Data.Top.Left,1,0)</definedName>
    <definedName name="Ownership2" hidden="1">OFFSET([38]!Data.Top.Left,1,0)</definedName>
    <definedName name="PA_AmfleetI">[67]AmfleetI!$B$4:$I$24</definedName>
    <definedName name="Pacificsurfliner">[68]Factors!$B$3</definedName>
    <definedName name="Package_Information">#REF!</definedName>
    <definedName name="PackageID">INDEX(#REF!,1,1):INDEX(#REF!,COUNTA(#REF!))</definedName>
    <definedName name="Page1_data">[36]Data!$A$2:$IV$4</definedName>
    <definedName name="Page2_table">[36]Data!$A$8:$D$34</definedName>
    <definedName name="Page3_Description1">'[36]Page 3'!$D$4</definedName>
    <definedName name="Page3_Description2">'[36]Page 3'!$M$13</definedName>
    <definedName name="Page3_Description3">'[36]Page 3'!$U$21</definedName>
    <definedName name="Page3_Description4">'[36]Page 3'!$AG$33</definedName>
    <definedName name="Page3_Description5">'[36]Page 3'!$AO$41</definedName>
    <definedName name="Page3_Description6">'[36]Page 3'!$AW$49</definedName>
    <definedName name="Page3_Table1">'[36]Page 3'!$D$5:$P$56</definedName>
    <definedName name="Page4_Table">'[36]Page 4'!$D$8:$L$67</definedName>
    <definedName name="Page4_Year1">'[36]Page 4'!$E$5</definedName>
    <definedName name="Page4_Year2">'[36]Page 4'!$I$5</definedName>
    <definedName name="Page5_Table">'[36]Page 5'!$D$8:$L$67</definedName>
    <definedName name="Page5_Year1">'[36]Page 5'!$E$5</definedName>
    <definedName name="Page5_Year2">'[36]Page 5'!$I$5</definedName>
    <definedName name="Page6_Table">'[36]Page 6'!$D$8:$L$69</definedName>
    <definedName name="Page6_Year1">'[36]Page 6'!$E$5</definedName>
    <definedName name="Page6_Year2">'[36]Page 6'!$I$5</definedName>
    <definedName name="Page7_SubTable1">'[36]Page 7'!$B$5:$D$63</definedName>
    <definedName name="Page7_SubTable2">'[36]Page 7'!$F$5:$H$63</definedName>
    <definedName name="Page7_SubTable3">'[36]Page 7'!$J$5:$L$63</definedName>
    <definedName name="Page7_SubTable4">'[36]Page 7'!$N$5:$P$63</definedName>
    <definedName name="Page7_SubTable5">'[36]Page 7'!$R$5:$T$63</definedName>
    <definedName name="Page8_SubTable1">'[36]Page 8'!$B$5:$D$63</definedName>
    <definedName name="Page8_SubTable2">'[36]Page 8'!$F$5:$H$63</definedName>
    <definedName name="Page8_SubTable3">'[36]Page 8'!$J$5:$L$63</definedName>
    <definedName name="Page8_SubTable4">'[36]Page 8'!$N$5:$P$63</definedName>
    <definedName name="Page8_SubTable5">'[36]Page 8'!$R$5:$T$63</definedName>
    <definedName name="Pal_Workbook_GUID" hidden="1">"BEF9HW46MWU2NPN6KLRL4E5X"</definedName>
    <definedName name="Patterns">[18]List_Data!$B$5:$B$11</definedName>
    <definedName name="PBBT_Intern_akt_Zinssatz" hidden="1">[69]PBBT_Intern!$A$27</definedName>
    <definedName name="PBBT_SH_4_C1" hidden="1">#REF!</definedName>
    <definedName name="PBBT_SH_4_KGps" hidden="1">#REF!</definedName>
    <definedName name="PBBT_SH_4_KT" hidden="1">#REF!</definedName>
    <definedName name="Pennsylvanian">[70]Factors!$B$3</definedName>
    <definedName name="Percent">#REF!</definedName>
    <definedName name="Peremarquette">[71]Factors!$B$3</definedName>
    <definedName name="pFilePath">#REF!</definedName>
    <definedName name="Piedmont">[72]Factors!$B$3</definedName>
    <definedName name="PMFac">#REF!</definedName>
    <definedName name="Power">#REF!</definedName>
    <definedName name="PP">'[32]Setup Info'!$B$8</definedName>
    <definedName name="ppdoo" localSheetId="0" hidden="1">{#N/A,#N/A,FALSE,"COVER.XLS";#N/A,#N/A,FALSE,"STDBS.XLS";#N/A,#N/A,FALSE,"STDPL.XLS";#N/A,#N/A,FALSE,"NOTES.XLS"}</definedName>
    <definedName name="ppdoo" localSheetId="1" hidden="1">{#N/A,#N/A,FALSE,"COVER.XLS";#N/A,#N/A,FALSE,"STDBS.XLS";#N/A,#N/A,FALSE,"STDPL.XLS";#N/A,#N/A,FALSE,"NOTES.XLS"}</definedName>
    <definedName name="ppdoo" hidden="1">{#N/A,#N/A,FALSE,"COVER.XLS";#N/A,#N/A,FALSE,"STDBS.XLS";#N/A,#N/A,FALSE,"STDPL.XLS";#N/A,#N/A,FALSE,"NOTES.XLS"}</definedName>
    <definedName name="ppppppppp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pppppppp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pppppppp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revious_Year">'[36]Page 7'!$B$2</definedName>
    <definedName name="Previous_Year2">'[36]Page 8'!$B$2</definedName>
    <definedName name="_xlnm.Print_Area" localSheetId="2">'6YR Structures'!$A$1:$K$34</definedName>
    <definedName name="_xlnm.Print_Area">'6YR Structures'!$A$1:$K$34</definedName>
    <definedName name="Print_Area_MI" localSheetId="2">'6YR Structures'!$A$1:$K$34</definedName>
    <definedName name="PRINT_AREA_MI">'6YR Structures'!$A$1:$K$34</definedName>
    <definedName name="PrintRangeReconOrigSBP">#REF!</definedName>
    <definedName name="PrintRangeSumbySource">#REF!</definedName>
    <definedName name="projlist_masterdatatable">#REF!</definedName>
    <definedName name="ProjList_TaskMatrix">INDEX(INDIRECT("tblProjects["&amp;#REF!&amp;"]"),1,1):INDEX(INDIRECT("tblProjects["&amp;#REF!&amp;"]"),COUNTA(INDIRECT("tblProjects["&amp;#REF!&amp;"]")))</definedName>
    <definedName name="ProjList_WhenPkgIDtoLeft">INDEX(INDIRECT("tblProjects["&amp;#REF!&amp;"]"),1,1):INDEX(INDIRECT("tblProjects["&amp;#REF!&amp;"]"),COUNTA(INDIRECT("tblProjects["&amp;#REF!&amp;"]")))</definedName>
    <definedName name="ProjPhase">INDEX(#REF!,1,1):INDEX(#REF!,COUNTA(#REF!))</definedName>
    <definedName name="ProjPhaseDesc">INDEX(#REF!,1,1):INDEX(#REF!,COUNTA(#REF!))</definedName>
    <definedName name="ProjStage" comment="named range for project stage drop down list">INDEX(#REF!,1,1):INDEX(#REF!,COUNTA(#REF!))</definedName>
    <definedName name="ProjStageAbv">INDEX(#REF!,1,1):INDEX(#REF!,COUNTA(#REF!))</definedName>
    <definedName name="ProjStatus">INDEX(#REF!,1,1):INDEX(#REF!,COUNTA(#REF!))</definedName>
    <definedName name="PTEeXToEUR" localSheetId="0" hidden="1">1/EUReXToPTE</definedName>
    <definedName name="PTEeXToEUR" localSheetId="1" hidden="1">1/EUReXToPTE</definedName>
    <definedName name="PTEeXToEUR" hidden="1">1/EUReXToPTE</definedName>
    <definedName name="PY">'[32]Setup Info'!$B$6</definedName>
    <definedName name="QUERY_FOR_PIDM_0004">#REF!</definedName>
    <definedName name="RBU" localSheetId="0" hidden="1">{#N/A,#N/A,FALSE,"Headct. Pie";#N/A,#N/A,FALSE,"Proj-Clin";#N/A,#N/A,FALSE,"Proj-Dev";#N/A,#N/A,FALSE,"Proj-Overall";#N/A,#N/A,FALSE,"Proj-Res"}</definedName>
    <definedName name="RBU" localSheetId="1" hidden="1">{#N/A,#N/A,FALSE,"Headct. Pie";#N/A,#N/A,FALSE,"Proj-Clin";#N/A,#N/A,FALSE,"Proj-Dev";#N/A,#N/A,FALSE,"Proj-Overall";#N/A,#N/A,FALSE,"Proj-Res"}</definedName>
    <definedName name="RBU" hidden="1">{#N/A,#N/A,FALSE,"Headct. Pie";#N/A,#N/A,FALSE,"Proj-Clin";#N/A,#N/A,FALSE,"Proj-Dev";#N/A,#N/A,FALSE,"Proj-Overall";#N/A,#N/A,FALSE,"Proj-Res"}</definedName>
    <definedName name="Reduce_Turnover_of_Top_Performers">#REF!</definedName>
    <definedName name="Reduce_Turnover_Timely_Compensation_Review_Increase_Utilization">#REF!</definedName>
    <definedName name="Report_Type">[36]Page1!$E$2</definedName>
    <definedName name="revenue_inflation">#REF!</definedName>
    <definedName name="RevFac">#REF!</definedName>
    <definedName name="RevTotal">#REF!</definedName>
    <definedName name="RevTotalX">#REF!</definedName>
    <definedName name="RevTotalY">#REF!</definedName>
    <definedName name="RevTotalZ">#REF!</definedName>
    <definedName name="RevTrain1">#REF!</definedName>
    <definedName name="RevTrain1X">#REF!</definedName>
    <definedName name="RevTrain1Y">#REF!</definedName>
    <definedName name="RevTrain1Z">#REF!</definedName>
    <definedName name="RevTrain2">#REF!</definedName>
    <definedName name="RevTrain2X">#REF!</definedName>
    <definedName name="RevTrain2Y">#REF!</definedName>
    <definedName name="RevTrain2Z">#REF!</definedName>
    <definedName name="RF_CPIAdj">'[47]Rail Fares'!$C$6</definedName>
    <definedName name="Riders">#REF!</definedName>
    <definedName name="Ridership">[27]RidershipProjections!$A$3:$M$57</definedName>
    <definedName name="RidersX">#REF!</definedName>
    <definedName name="RidersY">#REF!</definedName>
    <definedName name="RidersZ">#REF!</definedName>
    <definedName name="RidFac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L_Data">'[47]Rail Line'!$F$3:$V$202</definedName>
    <definedName name="Route">'[32]Setup Info'!$B$2</definedName>
    <definedName name="RouteCode">[18]List_Data!$A$107:$FB$107</definedName>
    <definedName name="RouteCodeandName">[18]List_Data!$A$107:$FA$108</definedName>
    <definedName name="RoXAlign" hidden="1">[73]RoXDataTables!$O$3:$O$4</definedName>
    <definedName name="RoXAppServ" hidden="1">[73]RoXDataTables!$Y$3:$Y$25</definedName>
    <definedName name="RoXBasketPrice" hidden="1">[73]RoXDataTables!$AI$3:$AI$10</definedName>
    <definedName name="RoXBasketType" hidden="1">[73]RoXDataTables!$AG$3:$AG$7</definedName>
    <definedName name="RoXBook" hidden="1">[73]RoXDataTables!$BC$3:$BC$457</definedName>
    <definedName name="RoXCDApplyTo" hidden="1">[73]RoXDataTables!$BQ$3:$BQ$5</definedName>
    <definedName name="RoXCDTranche" hidden="1">[73]RoXDataTables!$BS$3:$BS$5</definedName>
    <definedName name="RoXCDTrigger" hidden="1">[73]RoXDataTables!$BW$3:$BW$7</definedName>
    <definedName name="RoXCDType" hidden="1">[73]RoXDataTables!$BU$3:$BU$5</definedName>
    <definedName name="RoXCurrency" hidden="1">[73]RoXDataTables!$AY$3:$AY$65</definedName>
    <definedName name="RoXDayCount" hidden="1">[73]RoXDataTables!$CA$3:$CA$26</definedName>
    <definedName name="RoXDecomp" hidden="1">[73]RoXDataTables!$M$3:$M$5</definedName>
    <definedName name="RoXDispAtt" hidden="1">[73]RoXDataTables!$AU$3:$AU$1921</definedName>
    <definedName name="RoXEquality" hidden="1">[73]RoXDataTables!$A$3:$A$13</definedName>
    <definedName name="RoXExchange" hidden="1">[73]RoXDataTables!$BM$3:$BM$198</definedName>
    <definedName name="RoXExpandGreeks" hidden="1">[73]RoXDataTables!$BG$3:$BG$5</definedName>
    <definedName name="RoXFitVolMatrix2To" hidden="1">[73]RoXDataTables!$CK$3</definedName>
    <definedName name="RoXFrequency" hidden="1">[73]RoXDataTables!$CC$3:$CC$6</definedName>
    <definedName name="RoXGroup" hidden="1">[73]RoXDataTables!$E$3:$E$5</definedName>
    <definedName name="RoXGroupBy" hidden="1">[73]RoXDataTables!$AM$3:$AM$4</definedName>
    <definedName name="RoXInstrClass" hidden="1">[73]RoXDataTables!$BK$3:$BK$9</definedName>
    <definedName name="RoXIssueMkt" hidden="1">[73]RoXDataTables!$BO$3:$BO$245</definedName>
    <definedName name="RoXModelAccuracies" hidden="1">[73]RoXDataTables!$BI$3:$BI$5</definedName>
    <definedName name="RoXOtherScheduleType" hidden="1">[73]RoXDataTables!$BE$3:$BE$62</definedName>
    <definedName name="RoXPriceSource" hidden="1">[73]RoXDataTables!$I$3:$I$5</definedName>
    <definedName name="RoXQueryAtt" hidden="1">[73]RoXDataTables!$AS$3:$AS$1335</definedName>
    <definedName name="RoXScApplyTo" hidden="1">[73]RoXDataTables!$BA$3:$BA$312</definedName>
    <definedName name="RoXScParam" hidden="1">[73]RoXDataTables!$Q$3:$Q$13</definedName>
    <definedName name="RoXScShift" hidden="1">[73]RoXDataTables!$S$3:$S$4</definedName>
    <definedName name="RoXScType" hidden="1">[73]RoXDataTables!$U$3:$U$5</definedName>
    <definedName name="RoXSetScheduleType" hidden="1">[73]RoXDataTables!$AE$3:$AE$10</definedName>
    <definedName name="RoXSettablePrice" hidden="1">[73]RoXDataTables!$BY$3:$BY$4</definedName>
    <definedName name="RoXSort" hidden="1">[73]RoXDataTables!$C$3:$C$7</definedName>
    <definedName name="RoXSource" hidden="1">[73]RoXDataTables!$AW$3:$AW$9</definedName>
    <definedName name="RoXSourceWithLive" hidden="1">[73]RoXDataTables!$CN$3:$CN$10</definedName>
    <definedName name="RoXSVIColType" hidden="1">[73]RoXDataTables!$CI$3:$CI$4</definedName>
    <definedName name="RoXSVIIdealsWeight" hidden="1">[73]RoXDataTables!$CH$3:$CH$6</definedName>
    <definedName name="RoXSVIInterpol" hidden="1">[73]RoXDataTables!$CL$3:$CL$4</definedName>
    <definedName name="RoXSXBInstrType" hidden="1">[73]RoXDataTables!$CG$3:$CG$46</definedName>
    <definedName name="RoXTargetPriceSource" hidden="1">[73]RoXDataTables!$CE$3:$CE$6</definedName>
    <definedName name="RoXVolAbsDiff" hidden="1">[73]RoXDataTables!$AO$3:$AO$4</definedName>
    <definedName name="RoXVolBasketCalc" hidden="1">[73]RoXDataTables!$AC$3:$AC$4</definedName>
    <definedName name="RoXVolFixedFloat" hidden="1">[73]RoXDataTables!$AQ$3:$AQ$4</definedName>
    <definedName name="RoXVolImplBasis" hidden="1">[73]RoXDataTables!$AA$3:$AA$8</definedName>
    <definedName name="RoXVolSkew" hidden="1">[73]RoXDataTables!$AK$3:$AK$5</definedName>
    <definedName name="RoXYCBasis" hidden="1">[73]RoXDataTables!$W$3:$W$23</definedName>
    <definedName name="RoXYesNo" hidden="1">[73]RoXDataTables!$G$3:$G$4</definedName>
    <definedName name="RoXZeroPos" hidden="1">[73]RoXDataTables!$K$3:$K$5</definedName>
    <definedName name="Rura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ural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ura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anjoaquin">[74]Factors!$B$3</definedName>
    <definedName name="SAPBEXrevision" hidden="1">1</definedName>
    <definedName name="SAPBEXsysID" hidden="1">"BWP"</definedName>
    <definedName name="SAPBEXwbID" hidden="1">"7GT00EW3POJ1MLNM0F1D95XC1"</definedName>
    <definedName name="SAPFuncF4Help" localSheetId="0" hidden="1">Main.SAPF4Help()</definedName>
    <definedName name="SAPFuncF4Help" localSheetId="1" hidden="1">Main.SAPF4Help()</definedName>
    <definedName name="SAPFuncF4Help" hidden="1">Main.SAPF4Help()</definedName>
    <definedName name="saturday">#REF!</definedName>
    <definedName name="SC_1">#REF!</definedName>
    <definedName name="SC_2">#REF!</definedName>
    <definedName name="SC_3">#REF!</definedName>
    <definedName name="SEA_LN135">#REF!</definedName>
    <definedName name="SEA_Routes">#REF!</definedName>
    <definedName name="SecularDb">[27]SecularGrowthTable!$D$10:$AH$63</definedName>
    <definedName name="SegmentNo">INDEX(#REF!,1,1):INDEX(#REF!,COUNTA(#REF!))</definedName>
    <definedName name="SegmentSort">[27]ServicesDb!$C$12:$F$145</definedName>
    <definedName name="Separation_Rate">#REF!</definedName>
    <definedName name="ServicesDb">[27]ServicesDb!$B$6:$H$60</definedName>
    <definedName name="Sets">[27]CarsDb!$A$5:$N$59</definedName>
    <definedName name="SetsDb">[27]SecularGrowthTable!$B$9:$AH$63</definedName>
    <definedName name="Shorten_Compensation_Planning_Cycle_time_for_Compensation_Group">#REF!</definedName>
    <definedName name="Show.Acct.Update.Warning" hidden="1">#REF!</definedName>
    <definedName name="Show.MDB.Update.Warning" hidden="1">#REF!</definedName>
    <definedName name="Si" localSheetId="0" hidden="1">{#N/A,#N/A,FALSE,"Approval2"}</definedName>
    <definedName name="Si" localSheetId="1" hidden="1">{#N/A,#N/A,FALSE,"Approval2"}</definedName>
    <definedName name="Si" hidden="1">{#N/A,#N/A,FALSE,"Approval2"}</definedName>
    <definedName name="siglook">#REF!</definedName>
    <definedName name="Southwest">[75]Factors!$B$3</definedName>
    <definedName name="SSList">[18]List_Data!$A$110:$AJ$110</definedName>
    <definedName name="SSY_LN190">#REF!</definedName>
    <definedName name="SSY_Raw">#REF!</definedName>
    <definedName name="State_Support">#REF!</definedName>
    <definedName name="State_Supported_Routes">[76]Comparison!$B$79:$B$106</definedName>
    <definedName name="Station">#REF!</definedName>
    <definedName name="stuff" hidden="1">[77]BEV!#REF!</definedName>
    <definedName name="Suburban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uburban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uburban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um_T2">'[44]1997  Table 1a Modified'!#REF!</definedName>
    <definedName name="Sum_TTM">'[44]1997  Table 1a Modified'!#REF!</definedName>
    <definedName name="sunday">#REF!</definedName>
    <definedName name="Sunset">[78]Factors!$B$3</definedName>
    <definedName name="TaskBIC">INDEX(#REF!,1,1):INDEX(#REF!,COUNTA(#REF!))</definedName>
    <definedName name="TaskCatagory">INDEX(#REF!,1,1):INDEX(#REF!,COUNTA(#REF!))</definedName>
    <definedName name="TaskDrptPOC">INDEX(#REF!,1,1):INDEX(#REF!,COUNTA(#REF!))</definedName>
    <definedName name="TaskJpoPOC">INDEX(#REF!,1,1):INDEX(#REF!,COUNTA(#REF!))</definedName>
    <definedName name="TaskKhPOC">INDEX(#REF!,1,1):INDEX(#REF!,COUNTA(#REF!))</definedName>
    <definedName name="TaskPriority">INDEX(#REF!,1,1):INDEX(#REF!,COUNTA(#REF!))</definedName>
    <definedName name="TaskStatus">INDEX(#REF!,1,1):INDEX(#REF!,COUNTA(#REF!))</definedName>
    <definedName name="TemplatePrintArea">#REF!</definedName>
    <definedName name="test" localSheetId="0" hidden="1">LAG</definedName>
    <definedName name="test" localSheetId="1" hidden="1">LAG</definedName>
    <definedName name="test" hidden="1">LAG</definedName>
    <definedName name="test1" localSheetId="0" hidden="1">{#N/A,#N/A,TRUE,"MAIN FT TERM";#N/A,#N/A,TRUE,"MCI  FT TERM ";#N/A,#N/A,TRUE,"OC12 EQV"}</definedName>
    <definedName name="test1" localSheetId="1" hidden="1">{#N/A,#N/A,TRUE,"MAIN FT TERM";#N/A,#N/A,TRUE,"MCI  FT TERM ";#N/A,#N/A,TRUE,"OC12 EQV"}</definedName>
    <definedName name="test1" hidden="1">{#N/A,#N/A,TRUE,"MAIN FT TERM";#N/A,#N/A,TRUE,"MCI  FT TERM ";#N/A,#N/A,TRUE,"OC12 EQV"}</definedName>
    <definedName name="Texas">[79]Factors!$B$3</definedName>
    <definedName name="TextRefCopyRangeCount" hidden="1">1</definedName>
    <definedName name="ThreeMileSiding">#REF!</definedName>
    <definedName name="timezone">#REF!</definedName>
    <definedName name="TitleRegion1.f2.m3.6">[80]!Table1[[#Headers],[VOMS]]</definedName>
    <definedName name="TitleRegion1.f2.u3.7">[80]!Table6[[#Headers],[VOMS]]</definedName>
    <definedName name="TitleRegion2.e6.m15.6">[80]!Table2[[#Headers],[click to graph]]</definedName>
    <definedName name="TitleRegion2.e6.u15.7">[80]!Table7[[#Headers],[click to graph]]</definedName>
    <definedName name="TitleRegion3.c21.m53.6">[80]!Table3[[#Headers],[Description]]</definedName>
    <definedName name="TitleRegion3.c21.u53.7">[80]!Table8[[#Headers],[Description]]</definedName>
    <definedName name="TitleRegion4.e56.m67.6">[80]!Table4[[#Headers],[click to graph]]</definedName>
    <definedName name="TitleRegion4.e56.u65.7">[80]!Table9[[#Headers],[click to graph]]</definedName>
    <definedName name="TitleRegion5.d71.m127.6">[80]!Table5[[#Headers],[State]]</definedName>
    <definedName name="TitleRegion5.d71.u127.7">[80]!Table10[[#Headers],[State]]</definedName>
    <definedName name="TK">#REF!</definedName>
    <definedName name="Total_Compensation_Expense">#REF!</definedName>
    <definedName name="Total_Labor_Cost_Revenue">#REF!</definedName>
    <definedName name="TPM_FY02_FY03">#REF!</definedName>
    <definedName name="Train16">'[32]08 Detail'!#REF!</definedName>
    <definedName name="Train19NotOperated">[81]Train19!$B$8:$B$38</definedName>
    <definedName name="Train20NotOperated">[81]Train20!$B$8:$B$38</definedName>
    <definedName name="Train29PercentEarned">[81]Train29!$M$42</definedName>
    <definedName name="Train351NotOperated">[81]Train351!$B$8:$B$38</definedName>
    <definedName name="Train351PercentEarned">[81]Train351!$M$42</definedName>
    <definedName name="Train353NotOperated">[81]Train353!$B$8:$B$38</definedName>
    <definedName name="Train354NotOperated">[81]Train354!$B$8:$B$38</definedName>
    <definedName name="Train370PercentEarned">[81]Train370!$M$42</definedName>
    <definedName name="Train371PercentEarned">[81]Train371!$M$42</definedName>
    <definedName name="Train42NotOperated">[81]Train42!$B$8:$B$33</definedName>
    <definedName name="Train42PercentEarned">[81]Train42!$M$37</definedName>
    <definedName name="Train43NotOperated">[81]Train43!$B$8:$B$38</definedName>
    <definedName name="Train44NotOperated">[81]Train44!$B$8:$B$12</definedName>
    <definedName name="Train50NotOperated">[81]Train50!$B$8:$B$20</definedName>
    <definedName name="Train51NotOperated">[81]Train51!$B$8:$B$20</definedName>
    <definedName name="Train73NotOperated">[81]Train73!$B$8:$B$35</definedName>
    <definedName name="Train74NotOperated">[81]Train74!$B$8:$B$35</definedName>
    <definedName name="Train79NotOperated">[81]Train79!$B$8:$B$38</definedName>
    <definedName name="Train80NotOperated">[81]Train80!$B$8:$B$38</definedName>
    <definedName name="Train91NotOperated">[81]Train91!$B$8:$B$38</definedName>
    <definedName name="Train92NotOperated">[81]Train92!$B$8:$B$38</definedName>
    <definedName name="TRAINS">[82]Lookup!$A$1:$E$880</definedName>
    <definedName name="TRD_FY02_FY03">#REF!</definedName>
    <definedName name="Trips02">'[83]02'!$A$540:$M$1659</definedName>
    <definedName name="Trips03">'[83]03'!$A$546:$M$1701</definedName>
    <definedName name="Trips05">'[83]05'!$A$8:$P$1204</definedName>
    <definedName name="Trips06">'[83]06'!$A$6:$Q$1225</definedName>
    <definedName name="TTM_FY02_FY03">#REF!</definedName>
    <definedName name="Twelve">[27]RidershipProjections!$H$3:$J$57</definedName>
    <definedName name="Twenty">[27]RidershipProjections!$K$3:$M$57</definedName>
    <definedName name="TypeImprov">INDEX(#REF!,1,1):INDEX(#REF!,COUNTA(#REF!))</definedName>
    <definedName name="UniversalCrossover">#REF!</definedName>
    <definedName name="UPSRE" localSheetId="0" hidden="1">{#N/A,#N/A,FALSE,"Ix";#N/A,#N/A,FALSE,"BS";#N/A,#N/A,FALSE,"IS";#N/A,#N/A,FALSE,"IS_YTD";#N/A,#N/A,FALSE,"Nt1";#N/A,#N/A,FALSE,"Nt 2";#N/A,#N/A,FALSE,"Nt 3";#N/A,#N/A,FALSE,"Nt 4";#N/A,#N/A,FALSE,"Nt 4 summary"}</definedName>
    <definedName name="UPSRE" localSheetId="1" hidden="1">{#N/A,#N/A,FALSE,"Ix";#N/A,#N/A,FALSE,"BS";#N/A,#N/A,FALSE,"IS";#N/A,#N/A,FALSE,"IS_YTD";#N/A,#N/A,FALSE,"Nt1";#N/A,#N/A,FALSE,"Nt 2";#N/A,#N/A,FALSE,"Nt 3";#N/A,#N/A,FALSE,"Nt 4";#N/A,#N/A,FALSE,"Nt 4 summary"}</definedName>
    <definedName name="UPSRE" hidden="1">{#N/A,#N/A,FALSE,"Ix";#N/A,#N/A,FALSE,"BS";#N/A,#N/A,FALSE,"IS";#N/A,#N/A,FALSE,"IS_YTD";#N/A,#N/A,FALSE,"Nt1";#N/A,#N/A,FALSE,"Nt 2";#N/A,#N/A,FALSE,"Nt 3";#N/A,#N/A,FALSE,"Nt 4";#N/A,#N/A,FALSE,"Nt 4 summary"}</definedName>
    <definedName name="VERM_Cum">#REF!</definedName>
    <definedName name="VERM_Month">#REF!</definedName>
    <definedName name="Vermonter">[84]Factors!$B$3</definedName>
    <definedName name="Washington">[85]Factors!$B$3</definedName>
    <definedName name="WebDefault" localSheetId="0" hidden="1">LAG</definedName>
    <definedName name="WebDefault" localSheetId="1" hidden="1">LAG</definedName>
    <definedName name="WebDefault" hidden="1">LAG</definedName>
    <definedName name="WebDefault2" localSheetId="0" hidden="1">LAG</definedName>
    <definedName name="WebDefault2" localSheetId="1" hidden="1">LAG</definedName>
    <definedName name="WebDefault2" hidden="1">LAG</definedName>
    <definedName name="weekday">#REF!</definedName>
    <definedName name="Who">ADDRESS(ROW(),COLUMN(),4)</definedName>
    <definedName name="Wolverine">[86]Factors!$B$3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{#N/A,#N/A,TRUE,"MAIN FT TERM";#N/A,#N/A,TRUE,"MCI  FT TERM ";#N/A,#N/A,TRUE,"OC12 EQV"}</definedName>
    <definedName name="wrn.all._.sheets." localSheetId="1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MPJAN92.v2" localSheetId="0" hidden="1">{"Associates",#N/A,FALSE,"FULLESTI";"GPEBIT",#N/A,FALSE,"FULLESTI";"USEBIT",#N/A,FALSE,"FULLESTI";"UKEBIT",#N/A,FALSE,"FULLESTI";"AUSTEBIT",#N/A,FALSE,"FULLESTI"}</definedName>
    <definedName name="wrn.AMPJAN92.v2" localSheetId="1" hidden="1">{"Associates",#N/A,FALSE,"FULLESTI";"GPEBIT",#N/A,FALSE,"FULLESTI";"USEBIT",#N/A,FALSE,"FULLESTI";"UKEBIT",#N/A,FALSE,"FULLESTI";"AUSTEBIT",#N/A,FALSE,"FULLESTI"}</definedName>
    <definedName name="wrn.AMPJAN92.v2" hidden="1">{"Associates",#N/A,FALSE,"FULLESTI";"GPEBIT",#N/A,FALSE,"FULLESTI";"USEBIT",#N/A,FALSE,"FULLESTI";"UKEBIT",#N/A,FALSE,"FULLESTI";"AUSTEBIT",#N/A,FALSE,"FULLESTI"}</definedName>
    <definedName name="wrn.AMPJAN96." localSheetId="0" hidden="1">{"Associates",#N/A,FALSE,"FULLESTI";"GPEBIT",#N/A,FALSE,"FULLESTI";"USEBIT",#N/A,FALSE,"FULLESTI";"UKEBIT",#N/A,FALSE,"FULLESTI";"AUSTEBIT",#N/A,FALSE,"FULLESTI"}</definedName>
    <definedName name="wrn.AMPJAN96." localSheetId="1" hidden="1">{"Associates",#N/A,FALSE,"FULLESTI";"GPEBIT",#N/A,FALSE,"FULLESTI";"USEBIT",#N/A,FALSE,"FULLESTI";"UKEBIT",#N/A,FALSE,"FULLESTI";"AUSTEBIT",#N/A,FALSE,"FULLESTI"}</definedName>
    <definedName name="wrn.AMPJAN96." hidden="1">{"Associates",#N/A,FALSE,"FULLESTI";"GPEBIT",#N/A,FALSE,"FULLESTI";"USEBIT",#N/A,FALSE,"FULLESTI";"UKEBIT",#N/A,FALSE,"FULLESTI";"AUSTEBIT",#N/A,FALSE,"FULLESTI"}</definedName>
    <definedName name="wrn.Approval." localSheetId="0" hidden="1">{#N/A,#N/A,FALSE,"Approval Form"}</definedName>
    <definedName name="wrn.Approval." localSheetId="1" hidden="1">{#N/A,#N/A,FALSE,"Approval Form"}</definedName>
    <definedName name="wrn.Approval." hidden="1">{#N/A,#N/A,FALSE,"Approval Form"}</definedName>
    <definedName name="wrn.Approval2." localSheetId="0" hidden="1">{#N/A,#N/A,FALSE,"Approval2"}</definedName>
    <definedName name="wrn.Approval2." localSheetId="1" hidden="1">{#N/A,#N/A,FALSE,"Approval2"}</definedName>
    <definedName name="wrn.Approval2." hidden="1">{#N/A,#N/A,FALSE,"Approval2"}</definedName>
    <definedName name="wrn.Aug._.Board._.Charts." localSheetId="0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wrn.Aug._.Board._.Charts." localSheetId="1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wrn.Aug._.Board._.Charts." hidden="1">{#N/A,#N/A,FALSE,"1996 Ops &amp; K.Hi.";#N/A,#N/A,FALSE,"1996 JF IS";#N/A,#N/A,FALSE,"CytoGam";#N/A,#N/A,FALSE,"RespiGam";#N/A,#N/A,FALSE,"1996 Proj";#N/A,#N/A,FALSE,"1996 Dept";#N/A,#N/A,FALSE,"Projects";#N/A,#N/A,FALSE,"1996 July vs. April";#N/A,#N/A,FALSE,"1996 BS";#N/A,#N/A,FALSE,"QTRLY BALSHT";#N/A,#N/A,FALSE,"CFLJF_PL";#N/A,#N/A,FALSE,"Capital";#N/A,#N/A,FALSE,"Headcount";#N/A,#N/A,FALSE,"Qtr.96 Proj YTD";#N/A,#N/A,FALSE,"QtrCytoPL YTD";#N/A,#N/A,FALSE,"QtrRespiPL YTD";#N/A,#N/A,FALSE,"Headct. Pie";#N/A,#N/A,FALSE,"RHIJFVAF"}</definedName>
    <definedName name="wrn.CLAIM._.WORKING._.PAPERS." localSheetId="0" hidden="1">{"detail",#N/A,FALSE,"JUNE94";"summary",#N/A,FALSE,"JUNE94"}</definedName>
    <definedName name="wrn.CLAIM._.WORKING._.PAPERS." localSheetId="1" hidden="1">{"detail",#N/A,FALSE,"JUNE94";"summary",#N/A,FALSE,"JUNE94"}</definedName>
    <definedName name="wrn.CLAIM._.WORKING._.PAPERS." hidden="1">{"detail",#N/A,FALSE,"JUNE94";"summary",#N/A,FALSE,"JUNE94"}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ntract._.Info._.NA." localSheetId="0" hidden="1">{"Contract Info NA",#N/A,FALSE,"Main"}</definedName>
    <definedName name="wrn.Contract._.Info._.NA." localSheetId="1" hidden="1">{"Contract Info NA",#N/A,FALSE,"Main"}</definedName>
    <definedName name="wrn.Contract._.Info._.NA." hidden="1">{"Contract Info NA",#N/A,FALSE,"Main"}</definedName>
    <definedName name="wrn.Cosmos._.Report." localSheetId="0" hidden="1">{#N/A,#N/A,FALSE,"Cosmos Report"}</definedName>
    <definedName name="wrn.Cosmos._.Report." localSheetId="1" hidden="1">{#N/A,#N/A,FALSE,"Cosmos Report"}</definedName>
    <definedName name="wrn.Cosmos._.Report." hidden="1">{#N/A,#N/A,FALSE,"Cosmos Report"}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R._.Issues." localSheetId="0" hidden="1">{"unhide",#N/A,FALSE,"Sheet1"}</definedName>
    <definedName name="wrn.DR._.Issues." localSheetId="1" hidden="1">{"unhide",#N/A,FALSE,"Sheet1"}</definedName>
    <definedName name="wrn.DR._.Issues." hidden="1">{"unhide",#N/A,FALSE,"Sheet1"}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Statements." localSheetId="0" hidden="1">{#N/A,#N/A,FALSE,"Cover";#N/A,#N/A,FALSE,"Contents";#N/A,#N/A,FALSE,"BS";#N/A,#N/A,FALSE,"IS";#N/A,#N/A,FALSE,"Notes";#N/A,#N/A,FALSE,"UW - Property";#N/A,#N/A,FALSE,"Ratios"}</definedName>
    <definedName name="wrn.Financial._.Statements." localSheetId="1" hidden="1">{#N/A,#N/A,FALSE,"Cover";#N/A,#N/A,FALSE,"Contents";#N/A,#N/A,FALSE,"BS";#N/A,#N/A,FALSE,"IS";#N/A,#N/A,FALSE,"Notes";#N/A,#N/A,FALSE,"UW - Property";#N/A,#N/A,FALSE,"Ratios"}</definedName>
    <definedName name="wrn.Financial._.Statements." hidden="1">{#N/A,#N/A,FALSE,"Cover";#N/A,#N/A,FALSE,"Contents";#N/A,#N/A,FALSE,"BS";#N/A,#N/A,FALSE,"IS";#N/A,#N/A,FALSE,"Notes";#N/A,#N/A,FALSE,"UW - Property";#N/A,#N/A,FALSE,"Ratios"}</definedName>
    <definedName name="wrn.Formal._.Issues." localSheetId="0" hidden="1">{"hide",#N/A,FALSE,"Sheet1"}</definedName>
    <definedName name="wrn.Formal._.Issues." localSheetId="1" hidden="1">{"hide",#N/A,FALSE,"Sheet1"}</definedName>
    <definedName name="wrn.Formal._.Issues." hidden="1">{"hide",#N/A,FALSE,"Sheet1"}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uly._.Board._.Graphs." localSheetId="0" hidden="1">{#N/A,#N/A,FALSE,"Headct. Pie";#N/A,#N/A,FALSE,"Proj-Clin";#N/A,#N/A,FALSE,"Proj-Dev";#N/A,#N/A,FALSE,"Proj-Overall";#N/A,#N/A,FALSE,"Proj-Res"}</definedName>
    <definedName name="wrn.July._.Board._.Graphs." localSheetId="1" hidden="1">{#N/A,#N/A,FALSE,"Headct. Pie";#N/A,#N/A,FALSE,"Proj-Clin";#N/A,#N/A,FALSE,"Proj-Dev";#N/A,#N/A,FALSE,"Proj-Overall";#N/A,#N/A,FALSE,"Proj-Res"}</definedName>
    <definedName name="wrn.July._.Board._.Graphs." hidden="1">{#N/A,#N/A,FALSE,"Headct. Pie";#N/A,#N/A,FALSE,"Proj-Clin";#N/A,#N/A,FALSE,"Proj-Dev";#N/A,#N/A,FALSE,"Proj-Overall";#N/A,#N/A,FALSE,"Proj-Res"}</definedName>
    <definedName name="wrn.Liquidity._.and._.Solvency._.Margins." localSheetId="0" hidden="1">{#N/A,#N/A,FALSE,"Liq";#N/A,#N/A,FALSE,"Solv";#N/A,#N/A,FALSE,"MaxDiv"}</definedName>
    <definedName name="wrn.Liquidity._.and._.Solvency._.Margins." localSheetId="1" hidden="1">{#N/A,#N/A,FALSE,"Liq";#N/A,#N/A,FALSE,"Solv";#N/A,#N/A,FALSE,"MaxDiv"}</definedName>
    <definedName name="wrn.Liquidity._.and._.Solvency._.Margins." hidden="1">{#N/A,#N/A,FALSE,"Liq";#N/A,#N/A,FALSE,"Solv";#N/A,#N/A,FALSE,"MaxDiv"}</definedName>
    <definedName name="wrn.Medical._.Ratio." localSheetId="0" hidden="1">{#N/A,#N/A,FALSE,"Medical Ratio"}</definedName>
    <definedName name="wrn.Medical._.Ratio." localSheetId="1" hidden="1">{#N/A,#N/A,FALSE,"Medical Ratio"}</definedName>
    <definedName name="wrn.Medical._.Ratio." hidden="1">{#N/A,#N/A,FALSE,"Medical Ratio"}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PREMIUM._.REPORT._.WORKING._.PAPERS." localSheetId="0" hidden="1">{"SUMMARY",#N/A,TRUE,"MARCH94";"DETAIL",#N/A,TRUE,"MARCH94"}</definedName>
    <definedName name="wrn.PREMIUM._.REPORT._.WORKING._.PAPERS." localSheetId="1" hidden="1">{"SUMMARY",#N/A,TRUE,"MARCH94";"DETAIL",#N/A,TRUE,"MARCH94"}</definedName>
    <definedName name="wrn.PREMIUM._.REPORT._.WORKING._.PAPERS." hidden="1">{"SUMMARY",#N/A,TRUE,"MARCH94";"DETAIL",#N/A,TRUE,"MARCH94"}</definedName>
    <definedName name="wrn.Print." localSheetId="0" hidden="1">{"Cashflow",#N/A,FALSE,"CASHFLOW";"DCF",#N/A,FALSE,"CASHFLOW"}</definedName>
    <definedName name="wrn.Print." localSheetId="1" hidden="1">{"Cashflow",#N/A,FALSE,"CASHFLOW";"DCF",#N/A,FALSE,"CASHFLOW"}</definedName>
    <definedName name="wrn.Print." hidden="1">{"Cashflow",#N/A,FALSE,"CASHFLOW";"DCF",#N/A,FALSE,"CASHFLOW"}</definedName>
    <definedName name="wrn.Renewal." localSheetId="0" hidden="1">{#N/A,#N/A,FALSE,"Approval Form";#N/A,#N/A,FALSE,"Renewal";#N/A,#N/A,FALSE,"Cosmos Report"}</definedName>
    <definedName name="wrn.Renewal." localSheetId="1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0" hidden="1">{#N/A,#N/A,FALSE,"Renewal"}</definedName>
    <definedName name="wrn.Renewal._.Justification." localSheetId="1" hidden="1">{#N/A,#N/A,FALSE,"Renewal"}</definedName>
    <definedName name="wrn.Renewal._.Justification." hidden="1">{#N/A,#N/A,FALSE,"Renewal"}</definedName>
    <definedName name="wrn.Report." localSheetId="0" hidden="1">{"Cashflow",#N/A,FALSE,"CASHFLOW";"DCF",#N/A,FALSE,"CASHFLOW"}</definedName>
    <definedName name="wrn.Report." localSheetId="1" hidden="1">{"Cashflow",#N/A,FALSE,"CASHFLOW";"DCF",#N/A,FALSE,"CASHFLOW"}</definedName>
    <definedName name="wrn.Report." hidden="1">{"Cashflow",#N/A,FALSE,"CASHFLOW";"DCF",#N/A,FALSE,"CASHFLOW"}</definedName>
    <definedName name="wrn.Return._.Analysis." localSheetId="0" hidden="1">{#N/A,#N/A,FALSE,"day"}</definedName>
    <definedName name="wrn.Return._.Analysis." localSheetId="1" hidden="1">{#N/A,#N/A,FALSE,"day"}</definedName>
    <definedName name="wrn.Return._.Analysis." hidden="1">{#N/A,#N/A,FALSE,"day"}</definedName>
    <definedName name="wrn.Stainless._.FS." localSheetId="0" hidden="1">{#N/A,#N/A,FALSE,"COVER";#N/A,#N/A,FALSE,"Contents";#N/A,#N/A,FALSE,"BS";#N/A,#N/A,FALSE,"P&amp;L";#N/A,#N/A,FALSE,"NOTES";#N/A,#N/A,FALSE,"Underwriting Analysis";#N/A,#N/A,FALSE,"Solvency"}</definedName>
    <definedName name="wrn.Stainless._.FS." localSheetId="1" hidden="1">{#N/A,#N/A,FALSE,"COVER";#N/A,#N/A,FALSE,"Contents";#N/A,#N/A,FALSE,"BS";#N/A,#N/A,FALSE,"P&amp;L";#N/A,#N/A,FALSE,"NOTES";#N/A,#N/A,FALSE,"Underwriting Analysis";#N/A,#N/A,FALSE,"Solvency"}</definedName>
    <definedName name="wrn.Stainless._.FS." hidden="1">{#N/A,#N/A,FALSE,"COVER";#N/A,#N/A,FALSE,"Contents";#N/A,#N/A,FALSE,"BS";#N/A,#N/A,FALSE,"P&amp;L";#N/A,#N/A,FALSE,"NOTES";#N/A,#N/A,FALSE,"Underwriting Analysis";#N/A,#N/A,FALSE,"Solvency"}</definedName>
    <definedName name="wrn.STATEMENTS." localSheetId="0" hidden="1">{#N/A,#N/A,FALSE,"BS";#N/A,#N/A,FALSE,"IS";#N/A,#N/A,FALSE,"STAT";#N/A,#N/A,FALSE,"BUD_qtr";#N/A,#N/A,FALSE,"BUD_ytd"}</definedName>
    <definedName name="wrn.STATEMENTS." localSheetId="1" hidden="1">{#N/A,#N/A,FALSE,"BS";#N/A,#N/A,FALSE,"IS";#N/A,#N/A,FALSE,"STAT";#N/A,#N/A,FALSE,"BUD_qtr";#N/A,#N/A,FALSE,"BUD_ytd"}</definedName>
    <definedName name="wrn.STATEMENTS." hidden="1">{#N/A,#N/A,FALSE,"BS";#N/A,#N/A,FALSE,"IS";#N/A,#N/A,FALSE,"STAT";#N/A,#N/A,FALSE,"BUD_qtr";#N/A,#N/A,FALSE,"BUD_ytd"}</definedName>
    <definedName name="wrn.SUMMARY._.AND._.DETAIL." localSheetId="0" hidden="1">{"SUMMARY",#N/A,FALSE,"SEPT94";"DETAIL",#N/A,FALSE,"SEPT94"}</definedName>
    <definedName name="wrn.SUMMARY._.AND._.DETAIL." localSheetId="1" hidden="1">{"SUMMARY",#N/A,FALSE,"SEPT94";"DETAIL",#N/A,FALSE,"SEPT94"}</definedName>
    <definedName name="wrn.SUMMARY._.AND._.DETAIL." hidden="1">{"SUMMARY",#N/A,FALSE,"SEPT94";"DETAIL",#N/A,FALSE,"SEPT94"}</definedName>
    <definedName name="wrn.test." localSheetId="0" hidden="1">{"test",#N/A,FALSE,"Main"}</definedName>
    <definedName name="wrn.test." localSheetId="1" hidden="1">{"test",#N/A,FALSE,"Main"}</definedName>
    <definedName name="wrn.test." hidden="1">{"test",#N/A,FALSE,"Main"}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Underwriting._.Schedules." localSheetId="0" hidden="1">{#N/A,#N/A,FALSE,"YTD";#N/A,#N/A,FALSE,"ITD";#N/A,#N/A,FALSE,"2001-98";#N/A,#N/A,FALSE,"1001-99";#N/A,#N/A,FALSE,"1002-1004-99";#N/A,#N/A,FALSE,"1005-99";#N/A,#N/A,FALSE,"1006-99";#N/A,#N/A,FALSE,"2002-99";#N/A,#N/A,FALSE,"2003-99";#N/A,#N/A,FALSE,"2004-99TRIP";#N/A,#N/A,FALSE,"2004-99Interruption";#N/A,#N/A,FALSE,"2004-99Cancellation";#N/A,#N/A,FALSE,"StopLoss";#N/A,#N/A,FALSE,"ACIA-Castle"}</definedName>
    <definedName name="wrn.Underwriting._.Schedules." localSheetId="1" hidden="1">{#N/A,#N/A,FALSE,"YTD";#N/A,#N/A,FALSE,"ITD";#N/A,#N/A,FALSE,"2001-98";#N/A,#N/A,FALSE,"1001-99";#N/A,#N/A,FALSE,"1002-1004-99";#N/A,#N/A,FALSE,"1005-99";#N/A,#N/A,FALSE,"1006-99";#N/A,#N/A,FALSE,"2002-99";#N/A,#N/A,FALSE,"2003-99";#N/A,#N/A,FALSE,"2004-99TRIP";#N/A,#N/A,FALSE,"2004-99Interruption";#N/A,#N/A,FALSE,"2004-99Cancellation";#N/A,#N/A,FALSE,"StopLoss";#N/A,#N/A,FALSE,"ACIA-Castle"}</definedName>
    <definedName name="wrn.Underwriting._.Schedules." hidden="1">{#N/A,#N/A,FALSE,"YTD";#N/A,#N/A,FALSE,"ITD";#N/A,#N/A,FALSE,"2001-98";#N/A,#N/A,FALSE,"1001-99";#N/A,#N/A,FALSE,"1002-1004-99";#N/A,#N/A,FALSE,"1005-99";#N/A,#N/A,FALSE,"1006-99";#N/A,#N/A,FALSE,"2002-99";#N/A,#N/A,FALSE,"2003-99";#N/A,#N/A,FALSE,"2004-99TRIP";#N/A,#N/A,FALSE,"2004-99Interruption";#N/A,#N/A,FALSE,"2004-99Cancellation";#N/A,#N/A,FALSE,"StopLoss";#N/A,#N/A,FALSE,"ACIA-Castle"}</definedName>
    <definedName name="wvu.ANALYSIS._.1." localSheetId="0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1." localSheetId="1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1.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2." localSheetId="0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ANALYSIS._.2." localSheetId="1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ANALYSIS._.2.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BALANCE._.SHEET." localSheetId="0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BALANCE._.SHEET." localSheetId="1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BALANCE._.SHEET.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INCONE._.STATEMENT." localSheetId="0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INCONE._.STATEMENT." localSheetId="1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INCONE._.STATEMENT.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OPERATING._.EXPENSES." localSheetId="0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OPERATING._.EXPENSES." localSheetId="1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OPERATING._.EXPENSES.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STATUTORY._.RATIOS." localSheetId="0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wvu.STATUTORY._.RATIOS." localSheetId="1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wvu.STATUTORY._.RATIOS.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X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7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3</definedName>
    <definedName name="XX" hidden="1">'[87]TRIAL BALANCE'!#REF!</definedName>
    <definedName name="xxx">#REF!</definedName>
    <definedName name="xxxxx" hidden="1">39042.7166435185</definedName>
    <definedName name="Z_09562544_0D6B_11D5_B715_F44AE4740642_.wvu.Cols" hidden="1">#REF!</definedName>
    <definedName name="zz">[1]Saturday!$B$31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37" i="1"/>
  <c r="D20" i="1"/>
  <c r="I5" i="2"/>
  <c r="K5" i="2"/>
  <c r="I24" i="2"/>
  <c r="I16" i="2"/>
  <c r="I15" i="2"/>
  <c r="I17" i="2" s="1"/>
  <c r="I19" i="2" s="1"/>
  <c r="O9" i="2"/>
  <c r="K8" i="2"/>
  <c r="J8" i="2"/>
  <c r="O8" i="2" s="1"/>
  <c r="O7" i="2"/>
  <c r="L5" i="2"/>
  <c r="M5" i="2" s="1"/>
  <c r="O5" i="2" s="1"/>
  <c r="I31" i="1"/>
  <c r="I33" i="1" s="1"/>
  <c r="D26" i="1"/>
  <c r="J26" i="1" s="1"/>
  <c r="F31" i="1"/>
  <c r="F33" i="1" s="1"/>
  <c r="D16" i="1"/>
  <c r="J16" i="1" s="1"/>
  <c r="J13" i="1"/>
  <c r="D13" i="1"/>
  <c r="D11" i="1"/>
  <c r="J11" i="1" s="1"/>
  <c r="J20" i="1" l="1"/>
  <c r="M6" i="2"/>
  <c r="L6" i="2"/>
  <c r="J23" i="1"/>
  <c r="D31" i="1"/>
  <c r="D33" i="1" s="1"/>
  <c r="J31" i="1" l="1"/>
  <c r="J33" i="1" s="1"/>
  <c r="O6" i="2"/>
  <c r="O11" i="2" s="1"/>
</calcChain>
</file>

<file path=xl/sharedStrings.xml><?xml version="1.0" encoding="utf-8"?>
<sst xmlns="http://schemas.openxmlformats.org/spreadsheetml/2006/main" count="282" uniqueCount="122">
  <si>
    <t>Phase 1</t>
  </si>
  <si>
    <t>MP</t>
  </si>
  <si>
    <t>Location Name</t>
  </si>
  <si>
    <t>Estimated Cost</t>
  </si>
  <si>
    <t>Quarter</t>
  </si>
  <si>
    <t>Calendar Year of Upgrade</t>
  </si>
  <si>
    <t>Phase 2</t>
  </si>
  <si>
    <t>Phase 3</t>
  </si>
  <si>
    <t>Design</t>
  </si>
  <si>
    <t>Control Point True</t>
  </si>
  <si>
    <t>Q1</t>
  </si>
  <si>
    <t>Control Point Kennedy</t>
  </si>
  <si>
    <t>Q2</t>
  </si>
  <si>
    <t>Auto 5</t>
  </si>
  <si>
    <t>Q3</t>
  </si>
  <si>
    <t>Control Point Tower (Remote)</t>
  </si>
  <si>
    <t>Auto 3</t>
  </si>
  <si>
    <t>Broadway Crossing</t>
  </si>
  <si>
    <t>Control Point Tower (Main)</t>
  </si>
  <si>
    <t>Auto 4</t>
  </si>
  <si>
    <t>Simpsons Rd Crossing</t>
  </si>
  <si>
    <t>Material</t>
  </si>
  <si>
    <t>Construction</t>
  </si>
  <si>
    <t>Control Point Ford</t>
  </si>
  <si>
    <t>Control Point Eva (Main)</t>
  </si>
  <si>
    <t>Control Point Moore</t>
  </si>
  <si>
    <t>Q4</t>
  </si>
  <si>
    <t>Auto 1</t>
  </si>
  <si>
    <t>Main St Crossing</t>
  </si>
  <si>
    <t>Rodeo Dr Crossing</t>
  </si>
  <si>
    <t>Auto 2</t>
  </si>
  <si>
    <t>Control Point Eva (Remote)</t>
  </si>
  <si>
    <t>North St Crossing</t>
  </si>
  <si>
    <t xml:space="preserve">All materials and construction </t>
  </si>
  <si>
    <t>VPRA Work List</t>
  </si>
  <si>
    <t xml:space="preserve">No design </t>
  </si>
  <si>
    <t xml:space="preserve">ROM Cost </t>
  </si>
  <si>
    <t xml:space="preserve">Guessing on timing &amp; nominal dollars only </t>
  </si>
  <si>
    <t>Curve Rail Replacement</t>
  </si>
  <si>
    <t>Timber &amp; Surfacing (T&amp;S)</t>
  </si>
  <si>
    <t>State FY27</t>
  </si>
  <si>
    <t>State FY28</t>
  </si>
  <si>
    <t>State FY29</t>
  </si>
  <si>
    <t>State FY30</t>
  </si>
  <si>
    <t>State FY31</t>
  </si>
  <si>
    <t>State FY32</t>
  </si>
  <si>
    <t xml:space="preserve">Total </t>
  </si>
  <si>
    <t>MP 17.4 M1</t>
  </si>
  <si>
    <t>FY27</t>
  </si>
  <si>
    <t>M1 / M2 MP 15 - 32.50</t>
  </si>
  <si>
    <t xml:space="preserve">Curve Replacement </t>
  </si>
  <si>
    <t>MP 29.1 M2</t>
  </si>
  <si>
    <t>T&amp;S</t>
  </si>
  <si>
    <t>MP30 M1</t>
  </si>
  <si>
    <t>FY29</t>
  </si>
  <si>
    <t>Stations Tie Replacement</t>
  </si>
  <si>
    <t>MP 29.1 M1</t>
  </si>
  <si>
    <t>Stations Tie Replacement:</t>
  </si>
  <si>
    <t>TO Replacement</t>
  </si>
  <si>
    <t>MP 21.5 M2</t>
  </si>
  <si>
    <t>FY30</t>
  </si>
  <si>
    <t>MP 19.4 M1</t>
  </si>
  <si>
    <t>MP 15.3 M1</t>
  </si>
  <si>
    <t>FY31</t>
  </si>
  <si>
    <t>MP 14.3 M1</t>
  </si>
  <si>
    <t xml:space="preserve">Mainline 1 (M1) Track Miles (TM) </t>
  </si>
  <si>
    <t xml:space="preserve">Mainline 2 (M2) TM </t>
  </si>
  <si>
    <t xml:space="preserve">Total TM </t>
  </si>
  <si>
    <t>T&amp;S Cost/TM</t>
  </si>
  <si>
    <t xml:space="preserve">Total T&amp;S cost </t>
  </si>
  <si>
    <t>Turnout Replacement (TO)</t>
  </si>
  <si>
    <t>Burke House Tk MP 19.8 M1</t>
  </si>
  <si>
    <t xml:space="preserve">Cost per TO </t>
  </si>
  <si>
    <t>GPO Lead MP 16.7 M1</t>
  </si>
  <si>
    <t xml:space="preserve">Industry lead TO cost </t>
  </si>
  <si>
    <t>Gas Tk MP 18.2 M2</t>
  </si>
  <si>
    <t>CP Moore x2 MP 32.44, M1 and M2</t>
  </si>
  <si>
    <t xml:space="preserve">Estimated Cost per curve </t>
  </si>
  <si>
    <t>6-YEAR PROJECTION OF BRIDGE COSTS</t>
  </si>
  <si>
    <t xml:space="preserve">Phase Colors: </t>
  </si>
  <si>
    <t xml:space="preserve">Design </t>
  </si>
  <si>
    <t>LINE SEGMENT:  9.25 to 32.75</t>
  </si>
  <si>
    <t>Construction w/ Materials</t>
  </si>
  <si>
    <t>6-YEAR CAPITAL &amp; MAINTENANCE PROGRAM</t>
  </si>
  <si>
    <t xml:space="preserve"> Bridge TIE DECK RENEWALS</t>
  </si>
  <si>
    <t>CULVERT Replacement</t>
  </si>
  <si>
    <t>BRIDGE REPAIRS / REPLACEMENTS</t>
  </si>
  <si>
    <t xml:space="preserve">       YEAR TOTAL</t>
  </si>
  <si>
    <t>YEAR</t>
  </si>
  <si>
    <t># of Ties</t>
  </si>
  <si>
    <t>CAPITAL</t>
  </si>
  <si>
    <t>DESCRIPTION</t>
  </si>
  <si>
    <t>2026-2027</t>
  </si>
  <si>
    <t>9.6,22.6,23.6, 31.3, 31.8</t>
  </si>
  <si>
    <t>2027-2028</t>
  </si>
  <si>
    <t>Engineering - 10.3 &amp; 16.9 - retaining structures</t>
  </si>
  <si>
    <t>2028-2029</t>
  </si>
  <si>
    <t>Install Ballast retainers</t>
  </si>
  <si>
    <t>Install wingwall / retaining wall</t>
  </si>
  <si>
    <t>13.1 &amp; 28.8</t>
  </si>
  <si>
    <t>Concrete Encasemet/Rehabilitation - Engineering</t>
  </si>
  <si>
    <t>2029-2030</t>
  </si>
  <si>
    <t>Concrete Encasemet/Rehabilitation</t>
  </si>
  <si>
    <t>2030-2031</t>
  </si>
  <si>
    <t>Span Replacement - Engineering</t>
  </si>
  <si>
    <t>9.9, 10.2</t>
  </si>
  <si>
    <t xml:space="preserve">Steel repairs - Engineering </t>
  </si>
  <si>
    <t>2031-2032</t>
  </si>
  <si>
    <t xml:space="preserve">Steel repairs </t>
  </si>
  <si>
    <t>Span replacements</t>
  </si>
  <si>
    <t>6 YR.</t>
  </si>
  <si>
    <t>TOTAL</t>
  </si>
  <si>
    <t>AVG.</t>
  </si>
  <si>
    <t>Per tie deck renewal</t>
  </si>
  <si>
    <t xml:space="preserve">Main Street Sta M1 32.6 </t>
  </si>
  <si>
    <t>Central Sta M1 30.5</t>
  </si>
  <si>
    <t>Mall Center Sta M1 21.4</t>
  </si>
  <si>
    <t>Rail Road Sta M1 19.15</t>
  </si>
  <si>
    <t>Union Sta M1 15.0</t>
  </si>
  <si>
    <t xml:space="preserve">Maryland Power MP 27.25 M2 </t>
  </si>
  <si>
    <t>CP Ford x4 MP 12.9, M1 and M2</t>
  </si>
  <si>
    <t>CP Tower, No 6 TO, MP 10.7, M2 to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</si>
</sst>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General_)"/>
    <numFmt numFmtId="165" formatCode="&quot;$&quot;#,##0"/>
    <numFmt numFmtId="166" formatCode="_(&quot;$&quot;* #,##0_);_(&quot;$&quot;* \(#,##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ourier"/>
    </font>
    <font>
      <sz val="14"/>
      <name val="Arial"/>
      <family val="2"/>
    </font>
    <font>
      <sz val="12"/>
      <name val="Arial"/>
      <family val="2"/>
    </font>
    <font>
      <sz val="14"/>
      <color indexed="8"/>
      <name val="Arial"/>
      <family val="2"/>
    </font>
    <font>
      <sz val="12"/>
      <color indexed="8"/>
      <name val="Arial"/>
      <family val="2"/>
    </font>
    <font>
      <b/>
      <sz val="11"/>
      <color rgb="FF156082"/>
      <name val="Aptos Narrow"/>
      <family val="2"/>
    </font>
    <font>
      <sz val="11"/>
      <color rgb="FF000000"/>
      <name val="Aptos Narrow"/>
      <family val="2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FF0000"/>
      <name val="Aptos Narrow"/>
      <family val="2"/>
    </font>
    <font>
      <strike/>
      <sz val="11"/>
      <color rgb="FF000000"/>
      <name val="Aptos Display"/>
      <family val="2"/>
    </font>
    <font>
      <strike/>
      <sz val="10"/>
      <color theme="1"/>
      <name val="Aptos Display"/>
      <family val="2"/>
    </font>
    <font>
      <sz val="11"/>
      <color rgb="FF000000"/>
      <name val="Aptos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ADAD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theme="9" tint="0.39997558519241921"/>
      </left>
      <right/>
      <top/>
      <bottom/>
      <diagonal/>
    </border>
    <border>
      <left/>
      <right/>
      <top/>
      <bottom style="medium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theme="9" tint="0.39997558519241921"/>
      </bottom>
      <diagonal/>
    </border>
    <border>
      <left/>
      <right style="thin">
        <color indexed="64"/>
      </right>
      <top/>
      <bottom style="medium">
        <color theme="9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/>
  </cellStyleXfs>
  <cellXfs count="142">
    <xf numFmtId="0" fontId="0" fillId="0" borderId="0" xfId="0"/>
    <xf numFmtId="164" fontId="4" fillId="0" borderId="0" xfId="3" applyFont="1" applyAlignment="1">
      <alignment horizontal="left"/>
    </xf>
    <xf numFmtId="164" fontId="4" fillId="0" borderId="0" xfId="3" applyFont="1"/>
    <xf numFmtId="164" fontId="4" fillId="0" borderId="0" xfId="3" applyFont="1" applyAlignment="1">
      <alignment horizontal="center"/>
    </xf>
    <xf numFmtId="14" fontId="4" fillId="0" borderId="0" xfId="3" applyNumberFormat="1" applyFont="1" applyAlignment="1">
      <alignment horizontal="center"/>
    </xf>
    <xf numFmtId="164" fontId="5" fillId="0" borderId="0" xfId="3" applyFont="1"/>
    <xf numFmtId="164" fontId="5" fillId="0" borderId="0" xfId="3" applyFont="1" applyAlignment="1">
      <alignment horizontal="center"/>
    </xf>
    <xf numFmtId="164" fontId="5" fillId="2" borderId="0" xfId="3" applyFont="1" applyFill="1"/>
    <xf numFmtId="164" fontId="6" fillId="0" borderId="0" xfId="3" applyFont="1" applyAlignment="1">
      <alignment horizontal="left"/>
    </xf>
    <xf numFmtId="164" fontId="4" fillId="3" borderId="0" xfId="3" applyFont="1" applyFill="1"/>
    <xf numFmtId="164" fontId="7" fillId="0" borderId="0" xfId="3" applyFont="1" applyAlignment="1">
      <alignment horizontal="center"/>
    </xf>
    <xf numFmtId="164" fontId="5" fillId="0" borderId="1" xfId="3" applyFont="1" applyBorder="1" applyAlignment="1">
      <alignment horizontal="center"/>
    </xf>
    <xf numFmtId="164" fontId="7" fillId="0" borderId="0" xfId="3" applyFont="1" applyAlignment="1">
      <alignment horizontal="right"/>
    </xf>
    <xf numFmtId="164" fontId="5" fillId="0" borderId="3" xfId="3" applyFont="1" applyBorder="1" applyAlignment="1">
      <alignment horizontal="center"/>
    </xf>
    <xf numFmtId="164" fontId="5" fillId="0" borderId="4" xfId="3" applyFont="1" applyBorder="1" applyAlignment="1">
      <alignment horizontal="center"/>
    </xf>
    <xf numFmtId="164" fontId="7" fillId="0" borderId="5" xfId="3" applyFont="1" applyBorder="1" applyAlignment="1">
      <alignment horizontal="center"/>
    </xf>
    <xf numFmtId="164" fontId="7" fillId="0" borderId="3" xfId="3" applyFont="1" applyBorder="1" applyAlignment="1">
      <alignment horizontal="center"/>
    </xf>
    <xf numFmtId="164" fontId="7" fillId="0" borderId="4" xfId="3" applyFont="1" applyBorder="1" applyAlignment="1">
      <alignment horizontal="left"/>
    </xf>
    <xf numFmtId="164" fontId="5" fillId="0" borderId="6" xfId="3" applyFont="1" applyBorder="1"/>
    <xf numFmtId="164" fontId="5" fillId="0" borderId="6" xfId="3" applyFont="1" applyBorder="1" applyAlignment="1">
      <alignment horizontal="center"/>
    </xf>
    <xf numFmtId="5" fontId="7" fillId="0" borderId="6" xfId="3" applyNumberFormat="1" applyFont="1" applyBorder="1" applyAlignment="1">
      <alignment horizontal="center"/>
    </xf>
    <xf numFmtId="164" fontId="5" fillId="0" borderId="7" xfId="3" applyFont="1" applyBorder="1" applyAlignment="1">
      <alignment horizontal="center"/>
    </xf>
    <xf numFmtId="5" fontId="7" fillId="0" borderId="0" xfId="3" applyNumberFormat="1" applyFont="1" applyAlignment="1">
      <alignment horizontal="center"/>
    </xf>
    <xf numFmtId="5" fontId="7" fillId="0" borderId="1" xfId="3" applyNumberFormat="1" applyFont="1" applyBorder="1" applyAlignment="1">
      <alignment horizontal="center"/>
    </xf>
    <xf numFmtId="164" fontId="5" fillId="0" borderId="8" xfId="3" applyFont="1" applyBorder="1"/>
    <xf numFmtId="164" fontId="5" fillId="3" borderId="9" xfId="3" applyFont="1" applyFill="1" applyBorder="1"/>
    <xf numFmtId="164" fontId="5" fillId="0" borderId="10" xfId="3" applyFont="1" applyBorder="1"/>
    <xf numFmtId="5" fontId="7" fillId="0" borderId="10" xfId="3" applyNumberFormat="1" applyFont="1" applyBorder="1" applyAlignment="1">
      <alignment horizontal="center"/>
    </xf>
    <xf numFmtId="165" fontId="7" fillId="0" borderId="12" xfId="3" applyNumberFormat="1" applyFont="1" applyBorder="1" applyAlignment="1">
      <alignment horizontal="center"/>
    </xf>
    <xf numFmtId="165" fontId="7" fillId="0" borderId="11" xfId="3" applyNumberFormat="1" applyFont="1" applyBorder="1" applyAlignment="1">
      <alignment horizontal="center"/>
    </xf>
    <xf numFmtId="164" fontId="7" fillId="0" borderId="0" xfId="3" applyFont="1" applyAlignment="1">
      <alignment horizontal="left"/>
    </xf>
    <xf numFmtId="165" fontId="7" fillId="0" borderId="0" xfId="3" applyNumberFormat="1" applyFont="1" applyAlignment="1">
      <alignment horizontal="center"/>
    </xf>
    <xf numFmtId="165" fontId="7" fillId="0" borderId="1" xfId="3" applyNumberFormat="1" applyFont="1" applyBorder="1" applyAlignment="1">
      <alignment horizontal="center"/>
    </xf>
    <xf numFmtId="164" fontId="7" fillId="0" borderId="1" xfId="3" applyFont="1" applyBorder="1" applyAlignment="1">
      <alignment horizontal="center"/>
    </xf>
    <xf numFmtId="44" fontId="5" fillId="0" borderId="0" xfId="1" applyFont="1" applyAlignment="1">
      <alignment horizontal="center"/>
    </xf>
    <xf numFmtId="0" fontId="9" fillId="5" borderId="16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17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/>
    <xf numFmtId="44" fontId="0" fillId="0" borderId="0" xfId="1" applyFont="1"/>
    <xf numFmtId="44" fontId="0" fillId="0" borderId="0" xfId="0" applyNumberFormat="1"/>
    <xf numFmtId="0" fontId="9" fillId="0" borderId="16" xfId="0" applyFont="1" applyBorder="1" applyAlignment="1">
      <alignment vertical="center"/>
    </xf>
    <xf numFmtId="0" fontId="12" fillId="0" borderId="0" xfId="0" applyFont="1"/>
    <xf numFmtId="0" fontId="9" fillId="0" borderId="23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0" borderId="0" xfId="0" applyFont="1" applyAlignment="1">
      <alignment vertical="top"/>
    </xf>
    <xf numFmtId="0" fontId="14" fillId="0" borderId="17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166" fontId="0" fillId="0" borderId="0" xfId="1" applyNumberFormat="1" applyFont="1"/>
    <xf numFmtId="166" fontId="0" fillId="0" borderId="0" xfId="0" applyNumberFormat="1"/>
    <xf numFmtId="44" fontId="0" fillId="2" borderId="0" xfId="0" applyNumberFormat="1" applyFill="1"/>
    <xf numFmtId="0" fontId="17" fillId="0" borderId="0" xfId="0" applyFont="1"/>
    <xf numFmtId="6" fontId="0" fillId="0" borderId="0" xfId="0" applyNumberFormat="1"/>
    <xf numFmtId="0" fontId="9" fillId="5" borderId="22" xfId="0" applyFont="1" applyFill="1" applyBorder="1" applyAlignment="1">
      <alignment vertical="center"/>
    </xf>
    <xf numFmtId="44" fontId="17" fillId="0" borderId="0" xfId="1" applyFont="1"/>
    <xf numFmtId="44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2" fillId="0" borderId="0" xfId="1" applyFont="1" applyBorder="1" applyAlignment="1">
      <alignment horizontal="center"/>
    </xf>
    <xf numFmtId="9" fontId="0" fillId="0" borderId="0" xfId="2" applyFont="1"/>
    <xf numFmtId="0" fontId="0" fillId="0" borderId="26" xfId="0" applyBorder="1"/>
    <xf numFmtId="0" fontId="2" fillId="0" borderId="0" xfId="0" applyFont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44" fontId="0" fillId="0" borderId="0" xfId="1" applyFont="1" applyBorder="1"/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/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17" xfId="0" applyBorder="1"/>
    <xf numFmtId="0" fontId="0" fillId="0" borderId="21" xfId="0" applyBorder="1"/>
    <xf numFmtId="0" fontId="9" fillId="2" borderId="17" xfId="0" applyFont="1" applyFill="1" applyBorder="1" applyAlignment="1">
      <alignment vertical="center"/>
    </xf>
    <xf numFmtId="5" fontId="7" fillId="0" borderId="29" xfId="3" applyNumberFormat="1" applyFont="1" applyBorder="1" applyAlignment="1">
      <alignment horizontal="center"/>
    </xf>
    <xf numFmtId="5" fontId="7" fillId="0" borderId="2" xfId="3" applyNumberFormat="1" applyFont="1" applyBorder="1" applyAlignment="1">
      <alignment horizontal="center"/>
    </xf>
    <xf numFmtId="164" fontId="5" fillId="3" borderId="1" xfId="3" applyFont="1" applyFill="1" applyBorder="1" applyAlignment="1">
      <alignment horizontal="center"/>
    </xf>
    <xf numFmtId="164" fontId="5" fillId="3" borderId="0" xfId="3" applyFont="1" applyFill="1" applyAlignment="1">
      <alignment horizontal="center"/>
    </xf>
    <xf numFmtId="5" fontId="7" fillId="3" borderId="2" xfId="3" applyNumberFormat="1" applyFont="1" applyFill="1" applyBorder="1" applyAlignment="1">
      <alignment horizontal="center"/>
    </xf>
    <xf numFmtId="164" fontId="5" fillId="0" borderId="32" xfId="3" applyFont="1" applyBorder="1" applyAlignment="1">
      <alignment horizontal="center"/>
    </xf>
    <xf numFmtId="164" fontId="5" fillId="0" borderId="10" xfId="3" applyFont="1" applyBorder="1" applyAlignment="1">
      <alignment horizontal="center"/>
    </xf>
    <xf numFmtId="5" fontId="7" fillId="0" borderId="33" xfId="3" applyNumberFormat="1" applyFont="1" applyBorder="1" applyAlignment="1">
      <alignment horizontal="center"/>
    </xf>
    <xf numFmtId="5" fontId="7" fillId="4" borderId="0" xfId="3" applyNumberFormat="1" applyFont="1" applyFill="1" applyAlignment="1">
      <alignment horizontal="center"/>
    </xf>
    <xf numFmtId="164" fontId="7" fillId="0" borderId="7" xfId="3" applyFont="1" applyBorder="1" applyAlignment="1">
      <alignment horizontal="center"/>
    </xf>
    <xf numFmtId="164" fontId="5" fillId="4" borderId="0" xfId="3" applyFont="1" applyFill="1"/>
    <xf numFmtId="165" fontId="5" fillId="2" borderId="2" xfId="3" applyNumberFormat="1" applyFont="1" applyFill="1" applyBorder="1" applyAlignment="1">
      <alignment horizontal="center"/>
    </xf>
    <xf numFmtId="164" fontId="5" fillId="3" borderId="0" xfId="3" applyFont="1" applyFill="1"/>
    <xf numFmtId="164" fontId="5" fillId="2" borderId="1" xfId="3" applyFont="1" applyFill="1" applyBorder="1" applyAlignment="1">
      <alignment horizontal="center"/>
    </xf>
    <xf numFmtId="165" fontId="5" fillId="3" borderId="2" xfId="3" applyNumberFormat="1" applyFont="1" applyFill="1" applyBorder="1" applyAlignment="1">
      <alignment horizontal="center"/>
    </xf>
    <xf numFmtId="165" fontId="5" fillId="0" borderId="2" xfId="3" applyNumberFormat="1" applyFont="1" applyBorder="1" applyAlignment="1">
      <alignment horizontal="center"/>
    </xf>
    <xf numFmtId="164" fontId="5" fillId="3" borderId="30" xfId="3" applyFont="1" applyFill="1" applyBorder="1" applyAlignment="1">
      <alignment horizontal="center"/>
    </xf>
    <xf numFmtId="165" fontId="5" fillId="3" borderId="31" xfId="3" applyNumberFormat="1" applyFont="1" applyFill="1" applyBorder="1" applyAlignment="1">
      <alignment horizontal="center"/>
    </xf>
    <xf numFmtId="164" fontId="5" fillId="0" borderId="33" xfId="3" applyFont="1" applyBorder="1" applyAlignment="1">
      <alignment horizontal="center"/>
    </xf>
    <xf numFmtId="164" fontId="7" fillId="2" borderId="0" xfId="3" applyFont="1" applyFill="1" applyAlignment="1">
      <alignment horizontal="center"/>
    </xf>
    <xf numFmtId="164" fontId="7" fillId="3" borderId="0" xfId="3" applyFont="1" applyFill="1" applyAlignment="1">
      <alignment horizontal="center"/>
    </xf>
    <xf numFmtId="164" fontId="7" fillId="0" borderId="10" xfId="3" applyFont="1" applyBorder="1" applyAlignment="1">
      <alignment horizontal="center"/>
    </xf>
    <xf numFmtId="164" fontId="5" fillId="0" borderId="12" xfId="3" applyFont="1" applyBorder="1" applyAlignment="1">
      <alignment horizontal="center"/>
    </xf>
    <xf numFmtId="164" fontId="5" fillId="0" borderId="11" xfId="3" applyFont="1" applyBorder="1" applyAlignment="1">
      <alignment horizontal="center"/>
    </xf>
    <xf numFmtId="164" fontId="5" fillId="0" borderId="28" xfId="3" applyFont="1" applyBorder="1" applyAlignment="1">
      <alignment horizontal="center"/>
    </xf>
    <xf numFmtId="5" fontId="7" fillId="2" borderId="0" xfId="3" applyNumberFormat="1" applyFont="1" applyFill="1" applyAlignment="1">
      <alignment horizontal="center"/>
    </xf>
    <xf numFmtId="5" fontId="7" fillId="3" borderId="0" xfId="3" applyNumberFormat="1" applyFont="1" applyFill="1" applyAlignment="1">
      <alignment horizontal="center"/>
    </xf>
    <xf numFmtId="164" fontId="5" fillId="0" borderId="11" xfId="3" applyFont="1" applyBorder="1"/>
    <xf numFmtId="44" fontId="2" fillId="0" borderId="0" xfId="1" applyFont="1" applyBorder="1" applyAlignment="1">
      <alignment horizontal="center" wrapText="1"/>
    </xf>
    <xf numFmtId="0" fontId="13" fillId="0" borderId="1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7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7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2" borderId="16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17" xfId="0" applyFont="1" applyFill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7" xfId="0" applyFont="1" applyBorder="1" applyAlignment="1">
      <alignment vertical="center"/>
    </xf>
    <xf numFmtId="164" fontId="7" fillId="0" borderId="12" xfId="3" applyFont="1" applyBorder="1" applyAlignment="1">
      <alignment horizontal="center"/>
    </xf>
    <xf numFmtId="164" fontId="7" fillId="0" borderId="11" xfId="3" applyFont="1" applyBorder="1" applyAlignment="1">
      <alignment horizontal="center"/>
    </xf>
    <xf numFmtId="164" fontId="7" fillId="0" borderId="28" xfId="3" applyFont="1" applyBorder="1" applyAlignment="1">
      <alignment horizontal="center"/>
    </xf>
    <xf numFmtId="164" fontId="7" fillId="0" borderId="34" xfId="3" applyFont="1" applyBorder="1" applyAlignment="1">
      <alignment horizontal="center"/>
    </xf>
    <xf numFmtId="164" fontId="7" fillId="0" borderId="35" xfId="3" applyFont="1" applyBorder="1" applyAlignment="1">
      <alignment horizontal="center"/>
    </xf>
    <xf numFmtId="164" fontId="7" fillId="0" borderId="0" xfId="3" applyFont="1" applyAlignment="1">
      <alignment horizontal="center"/>
    </xf>
  </cellXfs>
  <cellStyles count="4">
    <cellStyle name="Currency" xfId="1" builtinId="4"/>
    <cellStyle name="Normal" xfId="0" builtinId="0"/>
    <cellStyle name="Normal 2" xfId="3" xr:uid="{9C9600CC-4020-4DA8-9149-ACFA3913900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RAFFIC051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\Home\KELLY\MONTHLY\FY97\97PP&amp;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WhittinN\Local%20Settings\Temporary%20Internet%20Files\OLK68\Models\Centek\Koch%20Valuation%20Model%20-%20Cente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Documents%20and%20Settings/MikeG/Local%20Settings/Temporary%20Internet%20Files/OLK19/TEMP/2000PD-White-NOV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olicy%20Deployment%202001\2001PD-GRUBER%20JULY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moweb20p/GROUPA/373%20-%20CHN/Accounts/12-31-03%20Accounts/12-31-03%20CHN%20Accou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trak.sharepoint.com/Fidanza%20Backup/Sr%20Rebate%20Analyst/WORK/DAVE/97MONBU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_20YearPlan\A.%20Revised20YearPlan\McKenzieTable\Traf04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moweb20p/GROUPB/366%20Otter%20Tail/Financial/F.%20Stmts/2005/Financial%20Statements-12.31.05%20(draft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Adirondac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FUser\FINANCE\Peberdy\Analysis\FY10%20P&amp;L\Reference%20Data\Host%20RR%20Costs\FY09%20LN1060%20(Host%20RR%20Costs)%20Outlook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Albany-Toront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trak.sharepoint.com/Gen_L/Robyn/West%20Region/22750%20-%20Jan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Auto%20Trai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mydanaher.com/My%20Documents/PD2001/2000PD-White-NOV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Users\FUser\FINANCE\Service%20Planning\Models\FY2013_APT_RT_Model_Dev\BLPS_Rte_Model_v2014-20140313_DEV-COP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Blue%20Wate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trak-my.sharepoint.com/personal/mark_dutmers_amtrak_com/Documents/Business%20Plans/BP2024/AOP24_workbook_v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hwarp\Local%20Settings\Temporary%20Internet%20Files\OLK184\Fleet%20Plan%20Model%2007-29-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A%20Zephy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apitol%20Lt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apitol%20Corrido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ard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D\NEC%20Unit%20Miles\2006%20NEC%20Corridor%20Utilization%20Statistics%20FRA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CsopG\Local%20Settings\Temporary%20Internet%20Files\OLK32B\EquipmentProjections_01-18-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ascad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mleyhorn.sharepoint.com/NVA_Transit/113282000%20-%20Atlantic%20Gateway%20Program/Production/AWP/Task%2010%20-%20Technical%20Assistance/Cost%20Estimate/CostEstimate_ProjectSummary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hicago-St.%20Loui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ity%20of%20New%20Orlean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FUser\FINANCE\Peberdy\Analysis\FY10%20P&amp;L\FY10%20Estimate%20Workbooks\State%20Supported%20Corridor%20Routes\Wisconsin\RT21%20-%20WI%20Hiawathas%20FY10%20Estimate%2005180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Crescen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_Usage_CostAllocations\SegmentData\Segment_UsageTemplate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403B-Mike%20M\403B_older\Invoices%20FY%2010\10-Caltrans-July%2010-403B%20Bill%20Package%2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therMasterPlan\Amtrak\NECStrategy\FHAHighwayTravel_1stQ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Users\FUser\FINANCE\Service%20Planning\Kevin\peninsula%20commuter%20train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rava.sharepoint.com/FinanceUsers/FUser/FINANCE/Service%20Planning/State_Pricing/FY2014%20Forecast/FY14%20Forecast%20-0_infl_%20Base%20FY12/Inflation_reset_routes/South%20(reset%20inf)/NCSched_20130628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trak.sharepoint.com/Program%20Files/SNACRS%20XP/dataDistributor.xla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6b_TrafficData\Segment_UsageTemplates_Ver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ofs3003\vol1\TAX\E\EEI66759\ElronDCF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Downe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Empire%20(New%20York-Albany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-bco-fs1\DOTPrj\WINDOWS\TEMP\USFreight97-9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Ethan%20Alle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Regional-Spine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Users\FUser\FINANCE\Service%20Planning\AF%20Service%20Requests\APT%20Model\2008-FloridaTe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moweb20p/GROUPA/382%20-%20Aurora/Accounts/09-30-03%20ALA%20Account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Heartland%20Flyer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moweb20p/GROUPA/343%20-%20AIL/Accounting/9-30-03%20Accounts/Accounts%2009-30-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Hiawth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rava.sharepoint.com/Daily%20Operation%20Reports/OPERATIONS%202007/JUN%202007/ESM/PL/PL%20JUN%2029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Hoosier%20Stat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Illin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Illinois%20Zephy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terimReport\Graphics\AInterimFin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trak-my.sharepoint.com/GROUPB/661/Finance/Financial%20Statements/2003/FS%20December%2031,%202003%20SWJ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Kansas%20City-St.%20Loui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Keyston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Lake%20Shore%20Limite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FUser\FINANCE\Peberdy\Analysis\FY10%20P&amp;L\Reference%20Data\AECOM\Changes\Yard%20v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efault\Local%20Settings\Temporary%20Internet%20Files\Content.IE5\GLW3O34F\EquipmentProjections_12-3-06c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TF\VOL1\Jobs\MBNA\GIS\Segment%20Table%20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chwarp\Local%20Settings\Temporary%20Internet%20Files\OLK184\Fleet%20Plan%20FY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INT\EXCEL\FY99\5-22\PLANENG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New%20Haven-Springfiel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usdata02\planning\Strategic%20Plan\FY05-09\Edits%20for%20Board%20Version\Mechanical\Spreadsheets\MechTables2.formatted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Pacific%20Surfline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09breh2\Local%20Settings\Temporary%20Internet%20Files\OLK55\APK030903_Vor-AE-Kalkulation-1116-500_0-9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Pennsylvani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Pere-Marquette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Piedmon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rava.sharepoint.com/bin/RoX/RAMXL.xla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San%20Joaquin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Southwest%20Chief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ammonke\Application%20Data\Microsoft\Excel\Demos\SAM_APT_RouteModel_Demo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ofs3003\vol1\JOBS\NXTREND\GOREDCF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Sunset%20Limite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Texas%20Eagle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NH702043\Documents\36%20VPRA%20O&amp;M%20ESTIMATES\O&amp;M%20Model\NTD%20Operating%20Expenses%20Data%202017.xlsm" TargetMode="External"/><Relationship Id="rId1" Type="http://schemas.openxmlformats.org/officeDocument/2006/relationships/externalLinkPath" Target="file:///C:\Users\USNH702043\Documents\36%20VPRA%20O&amp;M%20ESTIMATES\O&amp;M%20Model\NTD%20Operating%20Expenses%20Data%202017.xlsm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OLK3\NSDAIJanuary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My%20Documents\XLS\Disney%20Promotion%2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B_NationalTransitDatabase\Conlow_Summary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Vermonter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Washington-Newport%20New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semcnas01\users$\AMTRAK\Amtrak-ForecastSupport\Amtrak2006\MarketGrowth\Analysis2\Updated\Wolverine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rava.sharepoint.com/GROUPB/661/Finance/Financial%20Statements/2003/FS%20December%2031,%202003%20SW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D."/>
      <sheetName val="Saturday"/>
      <sheetName val="Sunday"/>
      <sheetName val="worksheet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Audti FY97 - Q4"/>
      <sheetName val="Feb97"/>
      <sheetName val="Jan97"/>
      <sheetName val="Jan97-adjusted"/>
      <sheetName val="Dec96"/>
      <sheetName val="Audit FY97"/>
      <sheetName val="Nov96"/>
      <sheetName val="Oct96 "/>
      <sheetName val="Sep96"/>
      <sheetName val="Aug96 "/>
      <sheetName val="Jy96"/>
      <sheetName val="Jun96"/>
      <sheetName val="May96"/>
      <sheetName val="Apr96"/>
      <sheetName val="Mar96"/>
      <sheetName val="Audit FY96"/>
      <sheetName val="Feb96"/>
      <sheetName val="Jan96"/>
      <sheetName val="Dec95"/>
      <sheetName val="Nov95"/>
      <sheetName val="Oct95"/>
      <sheetName val="Sept95"/>
      <sheetName val="Data"/>
      <sheetName val="Reference"/>
      <sheetName val="97PP&amp;E"/>
      <sheetName val="Audti_FY97_-_Q4"/>
      <sheetName val="Audit_FY97"/>
      <sheetName val="Oct96_"/>
      <sheetName val="Aug96_"/>
      <sheetName val="Audit_FY96"/>
      <sheetName val="Capital"/>
      <sheetName val="Audti_FY97_-_Q41"/>
      <sheetName val="Audit_FY971"/>
      <sheetName val="Oct96_1"/>
      <sheetName val="Aug96_1"/>
      <sheetName val="Audit_FY9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act Info"/>
      <sheetName val="Print--&gt;"/>
      <sheetName val="TOC"/>
      <sheetName val="Cover"/>
      <sheetName val="B - DCF - Centek"/>
      <sheetName val="E - Guideline Co. Summary"/>
      <sheetName val="F - Guideline Co. Analysis"/>
      <sheetName val="Workpapers--&gt;"/>
      <sheetName val="Client Projections"/>
      <sheetName val="A - Summary"/>
      <sheetName val="C - WACC"/>
      <sheetName val="D - Beta"/>
      <sheetName val="G - Transaction Summary"/>
      <sheetName val="H - Transaction Data"/>
      <sheetName val="I - Historical Financials"/>
      <sheetName val="Workpapers - Do Not Print--&gt;"/>
      <sheetName val="Guideline Co. Mult."/>
      <sheetName val="Control Premium Data"/>
      <sheetName val="Cost Approach"/>
      <sheetName val="Memo Items - WC,Capex,D&amp;A"/>
      <sheetName val="Upload vs Master Chart "/>
      <sheetName val="Due To Summary"/>
      <sheetName val="SPENDING"/>
      <sheetName val="ValueList_Helper"/>
      <sheetName val="LC"/>
      <sheetName val="Advances"/>
      <sheetName val=""/>
      <sheetName val="PY Mele listing"/>
      <sheetName val="Lookups"/>
      <sheetName val="Menu"/>
      <sheetName val="For Internal Control"/>
      <sheetName val="Q4 FY20 Reserve"/>
      <sheetName val="Bickmore Reserve by BU 12.31.19"/>
      <sheetName val="Bickmore Reserve by BU 6.30.19"/>
      <sheetName val="Excess Claims 12.31.19"/>
      <sheetName val="Excess Claims 6.30.19"/>
      <sheetName val="Excess Claims 12.31.18"/>
      <sheetName val="Excess claims"/>
      <sheetName val="Bickmore Reserve by BU 12.31.18"/>
      <sheetName val="Bickmore Reserve by BU 6.30.18"/>
      <sheetName val="Product_Dec18"/>
      <sheetName val="Product"/>
      <sheetName val="Product pymnts 1.1-6.30"/>
      <sheetName val="Dec FY20"/>
      <sheetName val="June FY20"/>
      <sheetName val="Dec FY19"/>
      <sheetName val="Jun FY19"/>
      <sheetName val="Jun Chargebacks"/>
      <sheetName val="Dec FY18"/>
      <sheetName val="Interest Rates"/>
      <sheetName val="Co Code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V"/>
      <sheetName val="assumptions"/>
      <sheetName val="Profit"/>
      <sheetName val="cover_page"/>
      <sheetName val="Inputs"/>
      <sheetName val="Advances"/>
      <sheetName val="O-1 (277)"/>
      <sheetName val="O-1 (521)"/>
      <sheetName val="O-1 (626) "/>
      <sheetName val="O-1 (425)"/>
      <sheetName val="01 Fcst Vol"/>
      <sheetName val="% Good Table"/>
      <sheetName val="File_Inputs"/>
      <sheetName val="Foundation P&amp;L"/>
      <sheetName val="Summary"/>
      <sheetName val="Physician_Rev_wRVU_Analysis"/>
      <sheetName val="Physician_Comp_Analysis"/>
      <sheetName val="Physician_Comp_wRVU_Analysis"/>
      <sheetName val="Revenue Sensitivity"/>
      <sheetName val="Raw Data_Comps"/>
      <sheetName val="Cost Approach"/>
      <sheetName val="Notes"/>
      <sheetName val="Index"/>
      <sheetName val="FINANCIALS"/>
      <sheetName val="API "/>
      <sheetName val="Indicators"/>
      <sheetName val="Pricing Model"/>
      <sheetName val="LC"/>
      <sheetName val="Données LMU"/>
      <sheetName val="induceamort"/>
      <sheetName val="TB"/>
      <sheetName val="DataStream PPI"/>
      <sheetName val="TRI_WACC"/>
      <sheetName val="Valued ao Sept 30 16"/>
      <sheetName val="C&amp;C PPA IMG"/>
      <sheetName val="DCF IMG"/>
      <sheetName val="Tech Assump IMG"/>
      <sheetName val="ip Reports IMG"/>
      <sheetName val="ip Holos IMG"/>
      <sheetName val="ip Info IMG"/>
      <sheetName val="dev Reports IMG"/>
      <sheetName val="dev Holos IMG"/>
      <sheetName val="dev Info IMG"/>
      <sheetName val="Gw IMG"/>
      <sheetName val="WACC IMG"/>
      <sheetName val="Codes"/>
      <sheetName val="Info"/>
      <sheetName val="Reference"/>
      <sheetName val="Comp. Transaction"/>
      <sheetName val="Escrow Accounts"/>
      <sheetName val="Value Summary and chart"/>
      <sheetName val="Process Tools-Owned"/>
      <sheetName val="Super Region"/>
      <sheetName val="YTD Actual"/>
      <sheetName val="Region"/>
      <sheetName val="SSDGrowth"/>
      <sheetName val="Total"/>
      <sheetName val="Credit Calc"/>
      <sheetName val="TRIAL BAL"/>
      <sheetName val="2013 AMGA_Benefits $"/>
      <sheetName val="Sullivan Cotter Benefits 2010"/>
      <sheetName val="SC Specialties"/>
      <sheetName val="2013 AMGA Compensation"/>
      <sheetName val="2013 MGMA Comp"/>
      <sheetName val="MGMA 2013_OnCall_Daily"/>
      <sheetName val="BLS_locations"/>
      <sheetName val="2012 national_dl"/>
      <sheetName val="dpw"/>
      <sheetName val="Region mapping"/>
      <sheetName val="Property Data"/>
      <sheetName val="PYTHON1"/>
      <sheetName val="M@ilTV RM Reserve"/>
      <sheetName val="T.C."/>
      <sheetName val="TargIS"/>
      <sheetName val="Sales 2003"/>
      <sheetName val="Consolidating BS"/>
      <sheetName val="MVS Depository&gt;"/>
      <sheetName val="%_Good_Table"/>
      <sheetName val="Foundation_P&amp;L"/>
      <sheetName val="Revenue_Sensitivity"/>
      <sheetName val="Raw_Data_Comps"/>
      <sheetName val="Cost_Approach"/>
      <sheetName val="Pro Forma"/>
      <sheetName val="List"/>
      <sheetName val="1601 Detail information"/>
      <sheetName val="CONS TB-Odoo"/>
      <sheetName val="Event Spending SUmmary"/>
      <sheetName val="押品类别标识 "/>
      <sheetName val="Mapping"/>
      <sheetName val="Sheet3"/>
      <sheetName val="货币资金"/>
      <sheetName val="BEA"/>
      <sheetName val="For Internal Control"/>
      <sheetName val="Q4 FY20 Reserve"/>
      <sheetName val="Bickmore Reserve by BU 12.31.19"/>
      <sheetName val="Bickmore Reserve by BU 6.30.19"/>
      <sheetName val="Excess Claims 12.31.19"/>
      <sheetName val="Excess Claims 6.30.19"/>
      <sheetName val="Excess Claims 12.31.18"/>
      <sheetName val="Excess claims"/>
      <sheetName val="Bickmore Reserve by BU 12.31.18"/>
      <sheetName val="Bickmore Reserve by BU 6.30.18"/>
      <sheetName val="Product_Dec18"/>
      <sheetName val="Product"/>
      <sheetName val="Product pymnts 1.1-6.30"/>
      <sheetName val="Dec FY20"/>
      <sheetName val="June FY20"/>
      <sheetName val="Dec FY19"/>
      <sheetName val="Jun FY19"/>
      <sheetName val="Jun Chargebacks"/>
      <sheetName val="Dec FY18"/>
      <sheetName val="Interest Rates"/>
      <sheetName val="Co Code Legend"/>
      <sheetName val="Sheet1"/>
      <sheetName val="SCHC Detail"/>
      <sheetName val="Drop down list options"/>
      <sheetName val="PROOF"/>
      <sheetName val="表4_12_1无形资产—土地使用权"/>
      <sheetName val="Kids Planned Summary"/>
      <sheetName val="CTN - Upload"/>
      <sheetName val="Rev Model"/>
      <sheetName val="Rev Assumptions"/>
      <sheetName val="Federal Deferreds Tax Effected"/>
      <sheetName val="TOP III Merge for IS"/>
      <sheetName val="Cap Call Support"/>
      <sheetName val="TOP III FOF Merge for IS"/>
      <sheetName val="TOP III Dist #7"/>
      <sheetName val="TOP III Unfunded"/>
      <sheetName val="Additional Allocations &gt;&gt;"/>
      <sheetName val="FOF"/>
      <sheetName val="FOF Unfunded"/>
      <sheetName val="Equity III-A"/>
      <sheetName val="Coinvest"/>
      <sheetName val="Professionals"/>
      <sheetName val="Pre-call Unfunded Reports &gt;&gt;"/>
      <sheetName val="Pre-call TOP III Unfunded"/>
      <sheetName val="Pre-call TOP III FOF Unfunded"/>
      <sheetName val="Support &gt;&gt;"/>
      <sheetName val="Spectre"/>
      <sheetName val="Bills"/>
      <sheetName val="BL Tax Recoupment"/>
      <sheetName val="Promote Estimate"/>
      <sheetName val="Management Fee Report"/>
      <sheetName val="FOF Mgmt Fee JEs"/>
      <sheetName val="AIV I-A BL Allocation"/>
      <sheetName val="Summary - by Game"/>
      <sheetName val="OPEX (Adaptive)"/>
      <sheetName val="Earnout Calcs"/>
      <sheetName val="2019S-02.11 State Bonus Dep Adj"/>
      <sheetName val="Sheet1 (2)"/>
      <sheetName val="PA2"/>
      <sheetName val="Q2 ESPP"/>
      <sheetName val="Lkup"/>
      <sheetName val="主营业务收入"/>
      <sheetName val="Sum"/>
      <sheetName val="汇总"/>
      <sheetName val="dxnsjtempsheet"/>
      <sheetName val="报表层次重要性水平"/>
      <sheetName val="所有者权益(股东权益)变动表(未审)"/>
      <sheetName val="波动率"/>
      <sheetName val="德国合并"/>
      <sheetName val="A"/>
      <sheetName val="Prisa 1 DCF"/>
      <sheetName val="API_"/>
      <sheetName val="Pricing_Model"/>
      <sheetName val="Données_LMU"/>
      <sheetName val="O-1_(277)"/>
      <sheetName val="O-1_(521)"/>
      <sheetName val="O-1_(626)_"/>
      <sheetName val="O-1_(425)"/>
      <sheetName val="01_Fcst_Vol"/>
      <sheetName val="DataStream_PPI"/>
      <sheetName val="C&amp;C_PPA_IMG"/>
      <sheetName val="DCF_IMG"/>
      <sheetName val="Tech_Assump_IMG"/>
      <sheetName val="ip_Reports_IMG"/>
      <sheetName val="ip_Holos_IMG"/>
      <sheetName val="ip_Info_IMG"/>
      <sheetName val="dev_Reports_IMG"/>
      <sheetName val="dev_Holos_IMG"/>
      <sheetName val="dev_Info_IMG"/>
      <sheetName val="Gw_IMG"/>
      <sheetName val="WACC_IMG"/>
      <sheetName val="Value_Summary_and_chart"/>
      <sheetName val="Shared Service Allocation"/>
      <sheetName val="HOSPICE OPSUM"/>
      <sheetName val="Pay Dir"/>
      <sheetName val="Pay Ind"/>
      <sheetName val="Pay SC"/>
      <sheetName val="ConvHist"/>
      <sheetName val="USGC"/>
      <sheetName val="Office Improve"/>
      <sheetName val="ACCI093099"/>
      <sheetName val="Graph"/>
      <sheetName val="OpEx"/>
      <sheetName val="Annual CF"/>
      <sheetName val="Lease Flows"/>
      <sheetName val="Input"/>
      <sheetName val="Semi-An CF"/>
      <sheetName val="Sum Lease Flows"/>
      <sheetName val="Description"/>
      <sheetName val="Cover"/>
      <sheetName val="Rent Roll"/>
      <sheetName val="Book Value"/>
      <sheetName val="ROLLUP"/>
      <sheetName val="Semi-An CF (0)"/>
      <sheetName val="M-1 - A"/>
      <sheetName val="S&amp;OI_print T5 T6 T7"/>
      <sheetName val="Pie_printֹCUR"/>
      <sheetName val="1 - Corptax ETR"/>
      <sheetName val="10 - US Current Prov."/>
      <sheetName val="12 - Other State Current Prov."/>
      <sheetName val="SVC LINES"/>
      <sheetName val="総括表（PW組選）"/>
      <sheetName val="科目余额表"/>
      <sheetName val="FIN 48 RF"/>
      <sheetName val="W-6.4 521 AMD Japan"/>
      <sheetName val="DATA"/>
      <sheetName val="1B - ETR"/>
      <sheetName val="A2 Rate Rec"/>
      <sheetName val="4N Deferreds Tax Effected - USD"/>
      <sheetName val="Federal Curent"/>
      <sheetName val="Lists"/>
      <sheetName val="SGXLHIDDENSHEET"/>
      <sheetName val="定义"/>
      <sheetName val="说明"/>
      <sheetName val="1995 Cellular"/>
      <sheetName val="DLSUM"/>
      <sheetName val="A1- FY20 Ending DTA(DTL)"/>
      <sheetName val="O02.2 Current Provision"/>
      <sheetName val="2013_AMGA_Benefits_$"/>
      <sheetName val="Sullivan_Cotter_Benefits_2010"/>
      <sheetName val="SC_Specialties"/>
      <sheetName val="2013_AMGA_Compensation"/>
      <sheetName val="2013_MGMA_Comp"/>
      <sheetName val="MGMA_2013_OnCall_Daily"/>
      <sheetName val="2012_national_dl"/>
      <sheetName val="Metal activity"/>
      <sheetName val="Total Europe 1"/>
      <sheetName val="Total Europe Calc. hours"/>
      <sheetName val=" "/>
      <sheetName val="鲁源0607收入明细账"/>
      <sheetName val="Bucket 2021"/>
      <sheetName val="Raw"/>
      <sheetName val="FTE Notes"/>
      <sheetName val="FTE_Notes"/>
      <sheetName val="Cross Bdr"/>
      <sheetName val="시산표"/>
      <sheetName val="Setup"/>
      <sheetName val="IS_CY"/>
      <sheetName val="Dropdown data"/>
      <sheetName val="ProC Files - ADD"/>
      <sheetName val="ProC Files - IN "/>
      <sheetName val="Sheet2"/>
      <sheetName val="Forex"/>
      <sheetName val="Sch 6"/>
      <sheetName val="费用"/>
      <sheetName val="SOW"/>
      <sheetName val="Process_Mech"/>
      <sheetName val="Données pour graphique"/>
      <sheetName val="Options"/>
      <sheetName val="Sched 16a"/>
      <sheetName val="ETR Comparison vs JE#1"/>
      <sheetName val="1C - with Foreign Rate diff"/>
      <sheetName val="11 - Foreign Current Prov."/>
      <sheetName val="P"/>
      <sheetName val="productList"/>
      <sheetName val="codeC"/>
      <sheetName val="1 - Corptax ETR (2)"/>
      <sheetName val="1"/>
      <sheetName val="Stock Averages"/>
      <sheetName val="3"/>
      <sheetName val="Company Descriptions"/>
      <sheetName val="JE_Summary"/>
      <sheetName val="3월"/>
      <sheetName val="BASEISR-IVA"/>
      <sheetName val="merger"/>
      <sheetName val="損益分岐点"/>
      <sheetName val="ICI"/>
      <sheetName val="MAI Plan P&amp;L"/>
      <sheetName val="P-3 Current Provision"/>
      <sheetName val="P-4.1D Pensando Stub Tax Return"/>
      <sheetName val="P-4.1a Xilinx US Consol Def Rfd"/>
      <sheetName val="G-18 ATMP JV Deferred"/>
      <sheetName val="Profile"/>
      <sheetName val="Property_Data"/>
      <sheetName val="Process_Tools-Owned"/>
      <sheetName val="Super_Region"/>
      <sheetName val="YTD_Actual"/>
      <sheetName val="Comp__Transaction"/>
      <sheetName val="Arterial Market"/>
      <sheetName val="Plan Sum"/>
      <sheetName val="2007 Sum"/>
      <sheetName val="Sum by Co"/>
      <sheetName val="Plan Sum "/>
      <sheetName val="Plan P&amp;L"/>
      <sheetName val="GM Bridge"/>
      <sheetName val="Regional Sales"/>
      <sheetName val="Unit Hist "/>
      <sheetName val="Sales"/>
      <sheetName val="Bookings"/>
      <sheetName val="AM Sales"/>
      <sheetName val="Segment P&amp;L"/>
      <sheetName val="GM Sum"/>
      <sheetName val="AM GM"/>
      <sheetName val="VAR"/>
      <sheetName val="SG&amp;A"/>
      <sheetName val="SG&amp;A (2)"/>
      <sheetName val="NPD"/>
      <sheetName val="SG&amp;A Invest"/>
      <sheetName val="Other"/>
      <sheetName val="OH"/>
      <sheetName val="Invest"/>
      <sheetName val="Cost red"/>
      <sheetName val="2005 FYE Estimate"/>
      <sheetName val="concil"/>
      <sheetName val="fxrates"/>
      <sheetName val="Shrs Traded 1yr"/>
      <sheetName val="Stock Data"/>
      <sheetName val="VAL MATRIX"/>
      <sheetName val="关键任务"/>
      <sheetName val="Definition字段维护"/>
      <sheetName val="【请关注】集团汇率"/>
      <sheetName val="B+F monthly"/>
      <sheetName val="Budget"/>
      <sheetName val="Scoping"/>
      <sheetName val="阅文"/>
      <sheetName val="地方站"/>
      <sheetName val="2-B+rolling forecast monthly"/>
      <sheetName val="1-overall Budget"/>
      <sheetName val="CFS"/>
      <sheetName val="(i) Fixed assets-PBC"/>
      <sheetName val="synthgraph"/>
      <sheetName val="Temp 2"/>
      <sheetName val="מדדים"/>
      <sheetName val="הרכבה מאוחד"/>
      <sheetName val="סיון הדרכה "/>
      <sheetName val="Condensed"/>
      <sheetName val="Per Case Eq."/>
      <sheetName val="Eee by dept"/>
      <sheetName val=""/>
      <sheetName val="Region_mapping"/>
      <sheetName val="%_Good_Table1"/>
      <sheetName val="Foundation_P&amp;L1"/>
      <sheetName val="Revenue_Sensitivity1"/>
      <sheetName val="Raw_Data_Comps1"/>
      <sheetName val="Cost_Approach1"/>
      <sheetName val="T_C_"/>
      <sheetName val="Consolidating_BS"/>
      <sheetName val="Escrow_Accounts"/>
      <sheetName val="Credit_Calc"/>
      <sheetName val="TRIAL_BAL"/>
      <sheetName val="M@ilTV_RM_Reserve"/>
      <sheetName val="Valued_ao_Sept_30_16"/>
      <sheetName val="Sales_2003"/>
      <sheetName val="MVS_Depository&gt;"/>
      <sheetName val="Pro_Forma"/>
      <sheetName val="1601_Detail_information"/>
      <sheetName val="CONS_TB-Odoo"/>
      <sheetName val="Event_Spending_SUmmary"/>
      <sheetName val="押品类别标识_"/>
      <sheetName val="SCHC_Detail"/>
      <sheetName val="Drop_down_list_options"/>
      <sheetName val="Federal_Deferreds_Tax_Effected"/>
      <sheetName val="Bucket_2021"/>
      <sheetName val="Q2_ESPP"/>
      <sheetName val="Rev_Model"/>
      <sheetName val="Rev_Assumptions"/>
      <sheetName val="TOP_III_Merge_for_IS"/>
      <sheetName val="Cap_Call_Support"/>
      <sheetName val="TOP_III_FOF_Merge_for_IS"/>
      <sheetName val="TOP_III_Dist_#7"/>
      <sheetName val="TOP_III_Unfunded"/>
      <sheetName val="Additional_Allocations_&gt;&gt;"/>
      <sheetName val="FOF_Unfunded"/>
      <sheetName val="Equity_III-A"/>
      <sheetName val="Pre-call_Unfunded_Reports_&gt;&gt;"/>
      <sheetName val="Pre-call_TOP_III_Unfunded"/>
      <sheetName val="Pre-call_TOP_III_FOF_Unfunded"/>
      <sheetName val="Support_&gt;&gt;"/>
      <sheetName val="BL_Tax_Recoupment"/>
      <sheetName val="Promote_Estimate"/>
      <sheetName val="Management_Fee_Report"/>
      <sheetName val="FOF_Mgmt_Fee_JEs"/>
      <sheetName val="AIV_I-A_BL_Allocation"/>
      <sheetName val="2019S-02_11_State_Bonus_Dep_Adj"/>
      <sheetName val="Kids_Planned_Summary"/>
      <sheetName val="CTN_-_Upload"/>
      <sheetName val="base de dados"/>
      <sheetName val="#REF"/>
      <sheetName val="CLOSE"/>
      <sheetName val="FA - USD"/>
      <sheetName val="QTRLY"/>
      <sheetName val="CIS"/>
      <sheetName val="summ"/>
      <sheetName val="1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Drop down names"/>
      <sheetName val="Restructure Expense "/>
      <sheetName val="Tables"/>
      <sheetName val="Drop 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Cntmrs-Recruit"/>
      <sheetName val="dropdown lists"/>
      <sheetName val="ref"/>
      <sheetName val="Template List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summary"/>
      <sheetName val="Entry Sheet"/>
      <sheetName val="BEV"/>
      <sheetName val="Storage"/>
      <sheetName val="TB 3-07"/>
      <sheetName val="IncStmt 3-07"/>
      <sheetName val="BalSheet 3-07"/>
      <sheetName val="O-1 (277)"/>
      <sheetName val="O-1 (425)"/>
      <sheetName val="O-1 (521)"/>
      <sheetName val="O-1 (626) "/>
      <sheetName val="Advances"/>
      <sheetName val="PM3,4,5"/>
      <sheetName val="WFS"/>
      <sheetName val="Menu"/>
      <sheetName val="TRin"/>
      <sheetName val="Notes"/>
      <sheetName val="Compco"/>
      <sheetName val="Suppliers"/>
      <sheetName val="Comp"/>
      <sheetName val="Index"/>
      <sheetName val="C&amp;C PPA IMG"/>
      <sheetName val="DCF IMG"/>
      <sheetName val="Tech Assump IMG"/>
      <sheetName val="ip Reports IMG"/>
      <sheetName val="ip Holos IMG"/>
      <sheetName val="ip Info IMG"/>
      <sheetName val="dev Reports IMG"/>
      <sheetName val="dev Holos IMG"/>
      <sheetName val="dev Info IMG"/>
      <sheetName val="Gw IMG"/>
      <sheetName val="WACC IMG"/>
      <sheetName val="FFgrapes"/>
      <sheetName val="FFwinemaking"/>
      <sheetName val="FFppe"/>
      <sheetName val="FFsales"/>
      <sheetName val="Input"/>
      <sheetName val="PerCaseCalcs"/>
      <sheetName val="COGS"/>
      <sheetName val="Taxes"/>
      <sheetName val="CF"/>
      <sheetName val="Sum"/>
      <sheetName val="Sch 2"/>
      <sheetName val="BS"/>
      <sheetName val="2241101"/>
      <sheetName val="51512"/>
      <sheetName val="51513"/>
      <sheetName val="5111199"/>
      <sheetName val="Table 1.1"/>
      <sheetName val="RealtyRates.data"/>
      <sheetName val="Data"/>
      <sheetName val="A1 - Income Statement"/>
      <sheetName val="Attributes"/>
      <sheetName val="Inputs"/>
      <sheetName val="PA2"/>
      <sheetName val="ICI"/>
      <sheetName val="Labels and Vlookups"/>
      <sheetName val="CA Lab Equp"/>
      <sheetName val="Rev Growth Rate"/>
      <sheetName val="Comp. Transaction"/>
      <sheetName val="Debt Regressions"/>
      <sheetName val="Companies &amp; Cars"/>
      <sheetName val="Div Upload"/>
      <sheetName val="MERGER"/>
      <sheetName val="DATA GRAFICAS"/>
      <sheetName val="Data_Detail"/>
      <sheetName val="Data_Summary"/>
      <sheetName val="MORE"/>
      <sheetName val="waste"/>
      <sheetName val="XLR_NoRangeSheet"/>
      <sheetName val="Consol Opening BS Worksheet "/>
      <sheetName val="Entry_Sheet"/>
      <sheetName val="Summ"/>
      <sheetName val="Occ"/>
      <sheetName val="Sheet4"/>
      <sheetName val="List of Resources and Roles"/>
      <sheetName val="FY18 Rate Card"/>
      <sheetName val="Cntmrs"/>
      <sheetName val="PARAM"/>
      <sheetName val="synthgraph"/>
      <sheetName val="Treasury"/>
      <sheetName val="Magma"/>
      <sheetName val="Non-Statistical Sampling Master"/>
      <sheetName val="UST Holdings"/>
      <sheetName val="Operating Statistics"/>
      <sheetName val="Introduction"/>
      <sheetName val="Old"/>
      <sheetName val="MARKET INFO"/>
      <sheetName val="M-5A"/>
      <sheetName val="For Internal Control"/>
      <sheetName val="Q4 FY20 Reserve"/>
      <sheetName val="Bickmore Reserve by BU 12.31.19"/>
      <sheetName val="Bickmore Reserve by BU 6.30.19"/>
      <sheetName val="Excess Claims 12.31.19"/>
      <sheetName val="Excess Claims 6.30.19"/>
      <sheetName val="Excess Claims 12.31.18"/>
      <sheetName val="Excess claims"/>
      <sheetName val="Bickmore Reserve by BU 12.31.18"/>
      <sheetName val="Bickmore Reserve by BU 6.30.18"/>
      <sheetName val="Product_Dec18"/>
      <sheetName val="Product"/>
      <sheetName val="Product pymnts 1.1-6.30"/>
      <sheetName val="Dec FY20"/>
      <sheetName val="June FY20"/>
      <sheetName val="Dec FY19"/>
      <sheetName val="Jun FY19"/>
      <sheetName val="Jun Chargebacks"/>
      <sheetName val="Dec FY18"/>
      <sheetName val="Interest Rates"/>
      <sheetName val="Co Code Legend"/>
      <sheetName val="Sheet1"/>
      <sheetName val="Kids Planned Summary"/>
      <sheetName val="CTN - Upload"/>
      <sheetName val="Assum"/>
      <sheetName val="REP03CNN"/>
      <sheetName val="Flowchart"/>
      <sheetName val="Returns"/>
      <sheetName val="CONTINENT CODE"/>
      <sheetName val="LIST OF OTP ADJ_Hide"/>
      <sheetName val="Unit List_Hide"/>
      <sheetName val="Size"/>
      <sheetName val="Assumptions"/>
      <sheetName val="Burn Rate"/>
      <sheetName val="Definitions"/>
      <sheetName val="Charts"/>
      <sheetName val="Income by Year"/>
      <sheetName val="Income by Quarter "/>
      <sheetName val="Income by Month"/>
      <sheetName val="Headcount"/>
      <sheetName val="Salary &amp; Expenses"/>
      <sheetName val="(D2) DCF"/>
      <sheetName val="Project Overview"/>
      <sheetName val="WW - Promo Plan"/>
      <sheetName val="Deal CF"/>
      <sheetName val="RENT-2"/>
      <sheetName val="Report_ISGraph"/>
      <sheetName val="Clause 13(a)"/>
      <sheetName val="tax clearance"/>
      <sheetName val="IT comp"/>
      <sheetName val="Deff Tax "/>
      <sheetName val="Tax"/>
      <sheetName val="3Cd Report"/>
      <sheetName val="3cd Ann"/>
      <sheetName val="Annex -1"/>
      <sheetName val="Supp for Ann II"/>
      <sheetName val="Anne-2"/>
      <sheetName val="Annex - 3"/>
      <sheetName val="Annex - 3A"/>
      <sheetName val="Software"/>
      <sheetName val="Software EHTP"/>
      <sheetName val="Software STP"/>
      <sheetName val="Annex - 4"/>
      <sheetName val="Annex - 5"/>
      <sheetName val="Annex - 6"/>
      <sheetName val="Annex - 7"/>
      <sheetName val="Annexure VIII"/>
      <sheetName val="Annex - 8"/>
      <sheetName val="Annex - 9"/>
      <sheetName val="Annex - 10"/>
      <sheetName val="Ann-11"/>
      <sheetName val="Annex - 12"/>
      <sheetName val="BS model (2)"/>
      <sheetName val="Stock - Sch 5A-5C"/>
      <sheetName val="DeptSummary"/>
      <sheetName val="Value Analysis - Sheet 1"/>
      <sheetName val="JATO Worksheet - Sheet 1"/>
      <sheetName val="JATO WorksheetR_x0000_o_x0000_o_x0000_t_x0000_ _x0000_"/>
      <sheetName val="Sheet2"/>
      <sheetName val="Sheet3"/>
      <sheetName val="BRAD"/>
      <sheetName val="A1. Monthly Flash"/>
      <sheetName val="A2. Statements of Operations"/>
      <sheetName val="A3. Revenue"/>
      <sheetName val="A4. New Revenue"/>
      <sheetName val="A5. Dept Expense"/>
      <sheetName val="B1. Walk Month vs Prior Year"/>
      <sheetName val="B2. Walk YTD vs Budget"/>
      <sheetName val="B3. Walk YTD vs Prior Year"/>
      <sheetName val="B1. Walk Month vs Budget"/>
      <sheetName val="D1. NWC &amp; Liquidity"/>
      <sheetName val="D2. Balance Sheet"/>
      <sheetName val="D3. Cash Flow"/>
      <sheetName val="D4. Covenant Detail"/>
      <sheetName val="B1. Month vs Forecast"/>
      <sheetName val="B3. Month vs Prior Year"/>
      <sheetName val="B4. YTD vs Forecast"/>
      <sheetName val="C. Margins--&gt;"/>
      <sheetName val="I. Cash Flow"/>
      <sheetName val="J. Covenant Calc"/>
      <sheetName val="J1. Covenant Definitions"/>
      <sheetName val="K. P&amp;L Forecasts--&gt;"/>
      <sheetName val="K1. 3+9 Forecast"/>
      <sheetName val="K2. 6+6 Forecast"/>
      <sheetName val="N. 13 Week Cash Forecast"/>
      <sheetName val="O.Flash Reconciliation"/>
      <sheetName val="K3. 8+4 Forecast"/>
      <sheetName val="E1. KPIs"/>
      <sheetName val="E2. Headcount"/>
      <sheetName val="Input Schedules"/>
      <sheetName val="Legend"/>
      <sheetName val="QB GL Input"/>
      <sheetName val="QB PL"/>
      <sheetName val="Empl Plan"/>
      <sheetName val="Empl 2018"/>
      <sheetName val="Bonus Plan"/>
      <sheetName val="ION Exp Build"/>
      <sheetName val="New Sales Build"/>
      <sheetName val="3rd Party Marketing"/>
      <sheetName val="ION Compare"/>
      <sheetName val="Empl 2017"/>
      <sheetName val="ION PL"/>
      <sheetName val="Debt"/>
      <sheetName val="Expense Detail"/>
      <sheetName val="QoE 17"/>
      <sheetName val="BRAD Hist Info"/>
      <sheetName val="BRAD Budget"/>
      <sheetName val="Addback Detail"/>
      <sheetName val="CapEx"/>
      <sheetName val="Intangibles"/>
      <sheetName val="Bonus Exp"/>
      <sheetName val="Comm Exp"/>
      <sheetName val="from sys 930"/>
      <sheetName val="Bj 1-11"/>
      <sheetName val="BJ p"/>
      <sheetName val="WPA_Assum"/>
      <sheetName val="geog"/>
      <sheetName val="索引"/>
      <sheetName val="标本-资产"/>
      <sheetName val="XL4Poppy"/>
      <sheetName val="3.4C&amp;B Sum"/>
      <sheetName val="3.6Average Salary"/>
      <sheetName val="Lguide"/>
      <sheetName val="11、对外开证"/>
      <sheetName val="eqpmad2"/>
      <sheetName val="德国合并"/>
      <sheetName val="期別全体表"/>
      <sheetName val="P"/>
      <sheetName val="TOS"/>
      <sheetName val="A"/>
      <sheetName val="C&amp;C_PPA_IMG"/>
      <sheetName val="DCF_IMG"/>
      <sheetName val="Tech_Assump_IMG"/>
      <sheetName val="ip_Reports_IMG"/>
      <sheetName val="ip_Holos_IMG"/>
      <sheetName val="ip_Info_IMG"/>
      <sheetName val="dev_Reports_IMG"/>
      <sheetName val="dev_Holos_IMG"/>
      <sheetName val="dev_Info_IMG"/>
      <sheetName val="Gw_IMG"/>
      <sheetName val="WACC_IMG"/>
      <sheetName val="O-1_(277)"/>
      <sheetName val="O-1_(425)"/>
      <sheetName val="O-1_(521)"/>
      <sheetName val="O-1_(626)_"/>
      <sheetName val="TB_3-07"/>
      <sheetName val="IncStmt_3-07"/>
      <sheetName val="BalSheet_3-07"/>
      <sheetName val="Sch_2"/>
      <sheetName val="Table_1_1"/>
      <sheetName val="RealtyRates_data"/>
      <sheetName val="Labels_and_Vlookups"/>
      <sheetName val="Div_Upload"/>
      <sheetName val="A1_-_Income_Statement"/>
      <sheetName val="Debt_Regressions"/>
      <sheetName val="Credit Calc"/>
      <sheetName val="#REF"/>
      <sheetName val="Acruals"/>
      <sheetName val="HOSPICE OPSUM"/>
      <sheetName val="DOH"/>
      <sheetName val="TargIS"/>
      <sheetName val="QRE's"/>
      <sheetName val="DUE FROM &amp; TO"/>
      <sheetName val="Settings"/>
      <sheetName val="op inc as pct t"/>
      <sheetName val="M@ilTV RM Reserve"/>
      <sheetName val="CURRENCY"/>
      <sheetName val="Sales 2003"/>
      <sheetName val="JATO WorksheetR"/>
      <sheetName val="Results from Nov 98"/>
      <sheetName val="france"/>
      <sheetName val="italy"/>
      <sheetName val="uk"/>
      <sheetName val="netherlands"/>
      <sheetName val="Input Form"/>
      <sheetName val="2011Cash"/>
      <sheetName val="F1"/>
      <sheetName val="Fiscal January"/>
      <sheetName val="BEER-PRO"/>
      <sheetName val="销售人效 - Overview"/>
      <sheetName val="Factset"/>
      <sheetName val="INVDAYS"/>
      <sheetName val="4月分摊比例"/>
      <sheetName val="P&amp;L透视数据"/>
      <sheetName val="P&amp;L调整数据"/>
      <sheetName val="Safari09"/>
      <sheetName val="安全服务"/>
      <sheetName val="LBDC Turnover"/>
      <sheetName val="9. Other Food"/>
      <sheetName val="2. Detergent"/>
      <sheetName val="3. Textile"/>
      <sheetName val="目录索引"/>
      <sheetName val="query results"/>
      <sheetName val="HP"/>
      <sheetName val="Volatility"/>
      <sheetName val="STATPARA"/>
      <sheetName val="conWP"/>
      <sheetName val="关联交易-存款"/>
      <sheetName val="Cash and Bank "/>
      <sheetName val="T2 - Current"/>
      <sheetName val="進捗状況管理表インポート"/>
      <sheetName val="Historical IS"/>
      <sheetName val="Netearnanal"/>
      <sheetName val="Adj EPS "/>
      <sheetName val="Weighted Average"/>
      <sheetName val="WSI Key Stats"/>
      <sheetName val="SUMMARY (2019)"/>
      <sheetName val="TERRITORY (2019)"/>
      <sheetName val="COUNTRY (2019)"/>
      <sheetName val="SEGMENT (2019)"/>
      <sheetName val="PRODUCT (2019)"/>
      <sheetName val="NEW vs PIPE"/>
      <sheetName val="TERRITORY"/>
      <sheetName val="BASE"/>
      <sheetName val="Customer Segmentation"/>
      <sheetName val="CLOSED-WON"/>
      <sheetName val="Rates"/>
      <sheetName val="FORECAST CLOSED-WON"/>
      <sheetName val="SEB Forecast"/>
      <sheetName val="CPZ Forecast"/>
      <sheetName val="SALES DATA"/>
      <sheetName val="Segments"/>
      <sheetName val="sal"/>
      <sheetName val="CLOSE"/>
      <sheetName val="定义"/>
      <sheetName val="非正式合同减免清单"/>
      <sheetName val="关键任务"/>
      <sheetName val="DTV"/>
      <sheetName val="Acquiror"/>
      <sheetName val="Model Assumptions"/>
      <sheetName val="LBO_Summ"/>
      <sheetName val="Control"/>
      <sheetName val="Deal"/>
      <sheetName val="wCodeTable"/>
      <sheetName val="Lists"/>
      <sheetName val="PSW_Sheet"/>
      <sheetName val="Kids_Planned_Summary"/>
      <sheetName val="CTN_-_Upload"/>
      <sheetName val="Entry_Sheet1"/>
      <sheetName val="Rev_Growth_Rate"/>
      <sheetName val="Comp__Transaction"/>
      <sheetName val="Companies_&amp;_Cars"/>
      <sheetName val="CA_Lab_Equp"/>
      <sheetName val="DATA_GRAFICAS"/>
      <sheetName val="Consol_Opening_BS_Worksheet_"/>
      <sheetName val="List_of_Resources_and_Roles"/>
      <sheetName val="FY18_Rate_Card"/>
      <sheetName val="LIST_OF_OTP_ADJ_Hide"/>
      <sheetName val="Unit_List_Hide"/>
      <sheetName val="CONTINENT_CODE"/>
      <sheetName val="(D2)_DCF"/>
      <sheetName val="Non-Statistical_Sampling_Master"/>
      <sheetName val="UST_Holdings"/>
      <sheetName val="Operating_Statistics"/>
      <sheetName val="MARKET_INFO"/>
      <sheetName val="Burn_Rate"/>
      <sheetName val="Income_by_Year"/>
      <sheetName val="Income_by_Quarter_"/>
      <sheetName val="Income_by_Month"/>
      <sheetName val="Salary_&amp;_Expenses"/>
      <sheetName val="Drop Down Menu"/>
      <sheetName val="Agent Data"/>
      <sheetName val="Revenue Monday Estimate"/>
      <sheetName val="Pricing Analysis"/>
      <sheetName val="Pricing Var Summary"/>
      <sheetName val="Monday Pricing"/>
      <sheetName val="Scorecard"/>
      <sheetName val="Management Report input file"/>
      <sheetName val="SALES REC file"/>
      <sheetName val="Process All Sites"/>
      <sheetName val="SC Corindi"/>
      <sheetName val="Third Party"/>
      <sheetName val="Corindi Sales Journals"/>
      <sheetName val="Stock Rec"/>
      <sheetName val="SALES REC "/>
      <sheetName val="SCOREBOARD"/>
      <sheetName val="EBIT Report input "/>
      <sheetName val="Corindi"/>
      <sheetName val="Sales ending25082019"/>
      <sheetName val="Sales ending11082019"/>
      <sheetName val="Export"/>
      <sheetName val="Tumba"/>
      <sheetName val="SC Tumba"/>
      <sheetName val="BX Tasmania"/>
      <sheetName val="TAS Sales Journal"/>
      <sheetName val="CB Tasmania"/>
      <sheetName val="SC FNQ"/>
      <sheetName val="SCOREBOARD file"/>
      <sheetName val="FNQ"/>
      <sheetName val="SC WA"/>
      <sheetName val="WA Sales Journals"/>
      <sheetName val="WA"/>
      <sheetName val="Monthly_Budget"/>
      <sheetName val="Var Analysis"/>
      <sheetName val="Summary - Drivers"/>
      <sheetName val="SUM-GEO"/>
      <sheetName val="BLDG_L"/>
      <sheetName val="威娜"/>
      <sheetName val="Parent Cap. Table"/>
      <sheetName val="PR Trust"/>
      <sheetName val="PPMA Confirm 4.21"/>
      <sheetName val="Cap differences"/>
      <sheetName val="Arterial Market"/>
      <sheetName val="TOT-BUD_ytd"/>
      <sheetName val="시산표"/>
      <sheetName val="Paramétrage"/>
      <sheetName val="Sch C"/>
      <sheetName val="Sch 6"/>
      <sheetName val="Validations"/>
      <sheetName val="_ESList"/>
      <sheetName val="IntgvsATV28(grp)"/>
      <sheetName val="L1-1"/>
      <sheetName val="TargBSCF"/>
      <sheetName val="(i) Fixed assets-PBC"/>
      <sheetName val="分渠道收入成本-MOB-计算表"/>
      <sheetName val="联盟广告收入透明化报表"/>
      <sheetName val="Validation_产品_INamed"/>
      <sheetName val="A1__Monthly_Flash"/>
      <sheetName val="A2__Statements_of_Operations"/>
      <sheetName val="A3__Revenue"/>
      <sheetName val="A4__New_Revenue"/>
      <sheetName val="A5__Dept_Expense"/>
      <sheetName val="B1__Walk_Month_vs_Prior_Year"/>
      <sheetName val="B2__Walk_YTD_vs_Budget"/>
      <sheetName val="B3__Walk_YTD_vs_Prior_Year"/>
      <sheetName val="B1__Walk_Month_vs_Budget"/>
      <sheetName val="D1__NWC_&amp;_Liquidity"/>
      <sheetName val="D2__Balance_Sheet"/>
      <sheetName val="D3__Cash_Flow"/>
      <sheetName val="D4__Covenant_Detail"/>
      <sheetName val="B1__Month_vs_Forecast"/>
      <sheetName val="B3__Month_vs_Prior_Year"/>
      <sheetName val="B4__YTD_vs_Forecast"/>
      <sheetName val="C__Margins--&gt;"/>
      <sheetName val="I__Cash_Flow"/>
      <sheetName val="J__Covenant_Calc"/>
      <sheetName val="J1__Covenant_Definitions"/>
      <sheetName val="K__P&amp;L_Forecasts--&gt;"/>
      <sheetName val="K1__3+9_Forecast"/>
      <sheetName val="K2__6+6_Forecast"/>
      <sheetName val="N__13_Week_Cash_Forecast"/>
      <sheetName val="O_Flash_Reconciliation"/>
      <sheetName val="K3__8+4_Forecast"/>
      <sheetName val="E1__KPIs"/>
      <sheetName val="E2__Headcount"/>
      <sheetName val="Input_Schedules"/>
      <sheetName val="QB_GL_Input"/>
      <sheetName val="QB_PL"/>
      <sheetName val="Empl_Plan"/>
      <sheetName val="Empl_2018"/>
      <sheetName val="Bonus_Plan"/>
      <sheetName val="ION_Exp_Build"/>
      <sheetName val="New_Sales_Build"/>
      <sheetName val="3rd_Party_Marketing"/>
      <sheetName val="ION_Compare"/>
      <sheetName val="Empl_2017"/>
      <sheetName val="ION_PL"/>
      <sheetName val="Expense_Detail"/>
      <sheetName val="QoE_17"/>
      <sheetName val="BRAD_Hist_Info"/>
      <sheetName val="BRAD_Budget"/>
      <sheetName val="Addback_Detail"/>
      <sheetName val="Bonus_Exp"/>
      <sheetName val="Comm_Exp"/>
      <sheetName val="SUMMARY_(2019)"/>
      <sheetName val="TERRITORY_(2019)"/>
      <sheetName val="COUNTRY_(2019)"/>
      <sheetName val="SEGMENT_(2019)"/>
      <sheetName val="PRODUCT_(2019)"/>
      <sheetName val="NEW_vs_PIPE"/>
      <sheetName val="Customer_Segmentation"/>
      <sheetName val="FORECAST_CLOSED-WON"/>
      <sheetName val="SEB_Forecast"/>
      <sheetName val="CPZ_Forecast"/>
      <sheetName val="SALES_DATA"/>
      <sheetName val="HOSPICE_OPSUM"/>
      <sheetName val="Distribution Network"/>
      <sheetName val="Total"/>
      <sheetName val="SP Break Up"/>
      <sheetName val="DUE_FROM_&amp;_TO"/>
      <sheetName val="Parent_Cap__Table"/>
      <sheetName val="PR_Trust"/>
      <sheetName val="PPMA_Confirm_4_21"/>
      <sheetName val="Cap_differences"/>
      <sheetName val="Clause_13(a)"/>
      <sheetName val="tax_clearance"/>
      <sheetName val="IT_comp"/>
      <sheetName val="Deff_Tax_"/>
      <sheetName val="3Cd_Report"/>
      <sheetName val="3cd_Ann"/>
      <sheetName val="Annex_-1"/>
      <sheetName val="Supp_for_Ann_II"/>
      <sheetName val="Annex_-_3"/>
      <sheetName val="Annex_-_3A"/>
      <sheetName val="Software_EHTP"/>
      <sheetName val="Software_STP"/>
      <sheetName val="Annex_-_4"/>
      <sheetName val="Annex_-_5"/>
      <sheetName val="Annex_-_6"/>
      <sheetName val="Annex_-_7"/>
      <sheetName val="Annexure_VIII"/>
      <sheetName val="Annex_-_8"/>
      <sheetName val="Annex_-_9"/>
      <sheetName val="Annex_-_10"/>
      <sheetName val="Annex_-_12"/>
      <sheetName val="BS_model_(2)"/>
      <sheetName val="Stock_-_Sch_5A-5C"/>
      <sheetName val="Value_Analysis_-_Sheet_1"/>
      <sheetName val="JATO_Worksheet_-_Sheet_1"/>
      <sheetName val="JATO_WorksheetRoot_"/>
      <sheetName val="BALANCE SHEET Cash Basis"/>
      <sheetName val="Consolidating BS Cash Basis"/>
      <sheetName val="Consolidating BS Cash Basis (2)"/>
      <sheetName val="Cash P&amp;L"/>
      <sheetName val="Cash Base Consolidating PL"/>
      <sheetName val="PROFIT LOSS"/>
      <sheetName val="Consolidating PL"/>
      <sheetName val="WSP P&amp;L"/>
      <sheetName val="PFC MGMT P&amp;L"/>
      <sheetName val="VS P&amp;L"/>
      <sheetName val="PFC Inc P&amp;L"/>
      <sheetName val="EDSP P&amp;L"/>
      <sheetName val="BALANCE SHEET"/>
      <sheetName val="Consolidating Balance Sheet"/>
      <sheetName val="CASH FLOWS "/>
      <sheetName val="Cash Flow workbook"/>
      <sheetName val="WSP BS"/>
      <sheetName val="PFC MGMT BS"/>
      <sheetName val="VS MD BS"/>
      <sheetName val="PFC Inc BS"/>
      <sheetName val="EDSP"/>
      <sheetName val="RD $14.95"/>
      <sheetName val="1461（12.6）"/>
      <sheetName val="major"/>
      <sheetName val="Riverside ROM YTD 2001"/>
      <sheetName val="Bookings Detail"/>
      <sheetName val="Table"/>
      <sheetName val="HIOS 93 thru 96"/>
      <sheetName val="Temps"/>
      <sheetName val="Profile"/>
      <sheetName val="Sheet1 (2)"/>
      <sheetName val="Tickmarks"/>
      <sheetName val="Sheet5"/>
      <sheetName val="TAX_ADJ"/>
      <sheetName val="%'S"/>
      <sheetName val="ECI"/>
      <sheetName val="LEAD"/>
      <sheetName val="PART-1 COMPUTATION OF INCOME"/>
      <sheetName val="FAB별"/>
      <sheetName val="dpw"/>
      <sheetName val="quarterly trends for d &amp; t1"/>
      <sheetName val="Category"/>
      <sheetName val="Help"/>
      <sheetName val="CondensedIS"/>
      <sheetName val="Details"/>
      <sheetName val="TB118"/>
      <sheetName val="TB123"/>
      <sheetName val="TB124"/>
      <sheetName val="TB127"/>
      <sheetName val="Current"/>
      <sheetName val="Lookup"/>
      <sheetName val="Section 78 Gross Up{C}"/>
      <sheetName val="NB-MKT"/>
      <sheetName val="Costing"/>
      <sheetName val="1Q-ICM Detail O.360.F"/>
      <sheetName val="2Q-ICM Detail O.360.G"/>
      <sheetName val="3Q-ICM Detail O.360.H"/>
      <sheetName val="USReconciliation"/>
      <sheetName val="Intercompany Profit{A}"/>
      <sheetName val="Summary Schedule M-1"/>
      <sheetName val="Political Contributions{A}"/>
      <sheetName val="Capital Loss &amp; Carryover{A}"/>
      <sheetName val="Data validation- DO NOT Delete"/>
      <sheetName val="quarterly trends for d &amp; t1.xls"/>
      <sheetName val="\Applications\Microsoft Office "/>
      <sheetName val="quarterly%20trends%20for%20d%20"/>
      <sheetName val="Look Up"/>
      <sheetName val="Sheet1_(2)"/>
      <sheetName val="Credit_Calc"/>
      <sheetName val="PART-1_COMPUTATION_OF_INCOME"/>
      <sheetName val="quarterly_trends_for_d_&amp;_t1"/>
      <sheetName val="1Q-ICM_Detail_O_360_F"/>
      <sheetName val="2Q-ICM_Detail_O_360_G"/>
      <sheetName val="3Q-ICM_Detail_O_360_H"/>
      <sheetName val="Macro1"/>
      <sheetName val=""/>
      <sheetName val="Section_78_Gross_Up{C}"/>
      <sheetName val="TB"/>
      <sheetName val="Dropdowns"/>
      <sheetName val="Data_validation-_DO_NOT_Delete"/>
      <sheetName val="quarterly_trends_for_d_&amp;_t1_xls"/>
      <sheetName val="\Applications\Microsoft_Office_"/>
      <sheetName val="Look_Up"/>
      <sheetName val="Sheet1_(2)1"/>
      <sheetName val="Sheet1_(2)2"/>
      <sheetName val="Credit_Calc1"/>
      <sheetName val="quarterly_trends_for_d_&amp;_t11"/>
      <sheetName val="PART-1_COMPUTATION_OF_INCOME1"/>
      <sheetName val="Comp__Transaction1"/>
      <sheetName val="Data_validation-_DO_NOT_Delete1"/>
      <sheetName val="quarterly_trends_for_d_&amp;_t1_xl1"/>
      <sheetName val="\Applications\Microsoft_Office1"/>
      <sheetName val="Look_Up1"/>
      <sheetName val="List"/>
      <sheetName val="Transship"/>
      <sheetName val="Entity List"/>
      <sheetName val="Distr__Contr__Guar_Pmt"/>
      <sheetName val="DataSheet"/>
      <sheetName val="Balance_Sheet"/>
      <sheetName val="Entity_Information"/>
      <sheetName val="Income_Statement"/>
      <sheetName val="Forecast Period"/>
      <sheetName val="PwC Notes"/>
      <sheetName val="Selling Cost breakdown"/>
      <sheetName val="Targets 2016"/>
      <sheetName val="99 Contingency Analysis"/>
      <sheetName val="lookups"/>
      <sheetName val="mfgcost"/>
      <sheetName val="Share Price Toggle Template"/>
      <sheetName val="Period Cost Bridge"/>
      <sheetName val="sysConfig"/>
      <sheetName val="49415003-01"/>
      <sheetName val="22410001-01 02"/>
      <sheetName val="18845006-03"/>
      <sheetName val="49415003-02"/>
      <sheetName val="LALURA"/>
      <sheetName val="LALUR"/>
      <sheetName val="18845006-05"/>
      <sheetName val="49420902-04"/>
      <sheetName val="Data Lists "/>
      <sheetName val="Sheet1_(2)3"/>
      <sheetName val="Credit_Calc2"/>
      <sheetName val="PART-1_COMPUTATION_OF_INCOME2"/>
      <sheetName val="quarterly_trends_for_d_&amp;_t12"/>
      <sheetName val="Comp__Transaction2"/>
      <sheetName val="1Q-ICM_Detail_O_360_F1"/>
      <sheetName val="2Q-ICM_Detail_O_360_G1"/>
      <sheetName val="3Q-ICM_Detail_O_360_H1"/>
      <sheetName val="Section_78_Gross_Up{C}1"/>
      <sheetName val="Data_validation-_DO_NOT_Delete2"/>
      <sheetName val="Intercompany_Profit{A}"/>
      <sheetName val="Summary_Schedule_M-1"/>
      <sheetName val="Political_Contributions{A}"/>
      <sheetName val="Capital_Loss_&amp;_Carryover{A}"/>
      <sheetName val="quarterly_trends_for_d_&amp;_t1_xl2"/>
      <sheetName val="\Applications\Microsoft_Office2"/>
      <sheetName val="Look_Up2"/>
      <sheetName val="Entity_List"/>
      <sheetName val="Forecast_Period"/>
      <sheetName val="General Information"/>
      <sheetName val="Page 1"/>
      <sheetName val="Roll"/>
      <sheetName val="[quarterly trends for d &amp; t1.xl"/>
      <sheetName val="Drop down list"/>
      <sheetName val="hiddenSheet"/>
      <sheetName val="Static Data"/>
      <sheetName val="I-1 FY18 IP RF"/>
      <sheetName val="Allocation"/>
      <sheetName val="Contents"/>
      <sheetName val="SD"/>
      <sheetName val="Master"/>
      <sheetName val="Guide by Rep"/>
      <sheetName val="PwC_Notes"/>
      <sheetName val="99_Contingency_Analysis"/>
      <sheetName val="Selling_Cost_breakdown"/>
      <sheetName val="Targets_2016"/>
      <sheetName val="Share_Price_Toggle_Template"/>
      <sheetName val="VC"/>
      <sheetName val="Guide Lines"/>
      <sheetName val="Variables"/>
      <sheetName val="Parameters"/>
      <sheetName val="Capital IQ Sheet-GPC"/>
      <sheetName val="5500"/>
      <sheetName val="ERISA-Part1"/>
      <sheetName val="Exception List Drop Down"/>
      <sheetName val="SALES BONUS_US"/>
      <sheetName val="Flux"/>
      <sheetName val="(A-1) Tax Entity Hierarchy"/>
      <sheetName val="Manual Input"/>
      <sheetName val="Drop Down Lists"/>
      <sheetName val="[quarterly%20trends%20for%20d%2"/>
      <sheetName val="Name List"/>
      <sheetName val="Sheet1_(2)4"/>
      <sheetName val="Credit_Calc3"/>
      <sheetName val="quarterly_trends_for_d_&amp;_t13"/>
      <sheetName val="PART-1_COMPUTATION_OF_INCOME3"/>
      <sheetName val="Comp__Transaction3"/>
      <sheetName val="Data_validation-_DO_NOT_Delete3"/>
      <sheetName val="quarterly_trends_for_d_&amp;_t1_xl3"/>
      <sheetName val="\Applications\Microsoft_Office3"/>
      <sheetName val="Look_Up3"/>
      <sheetName val="1Q-ICM_Detail_O_360_F2"/>
      <sheetName val="2Q-ICM_Detail_O_360_G2"/>
      <sheetName val="3Q-ICM_Detail_O_360_H2"/>
      <sheetName val="Section_78_Gross_Up{C}2"/>
      <sheetName val="Intercompany_Profit{A}1"/>
      <sheetName val="Summary_Schedule_M-11"/>
      <sheetName val="Political_Contributions{A}1"/>
      <sheetName val="Capital_Loss_&amp;_Carryover{A}1"/>
      <sheetName val="Selling_Cost_breakdown1"/>
      <sheetName val="Targets_20161"/>
      <sheetName val="Forecast_Period1"/>
      <sheetName val="Entity_List1"/>
      <sheetName val="PwC_Notes1"/>
      <sheetName val="99_Contingency_Analysis1"/>
      <sheetName val="Share_Price_Toggle_Template1"/>
      <sheetName val="Period_Cost_Bridge"/>
      <sheetName val="Data_Lists_"/>
      <sheetName val="22410001-01_02"/>
      <sheetName val="Drop_down_list"/>
      <sheetName val="General_Information"/>
      <sheetName val="Page_1"/>
      <sheetName val="[quarterly_trends_for_d_&amp;_t1_xl"/>
      <sheetName val="Static_Data"/>
      <sheetName val="I-1_FY18_IP_RF"/>
      <sheetName val="Guide_by_Rep"/>
      <sheetName val="Guide_Lines"/>
      <sheetName val="Sheet1_(2)5"/>
      <sheetName val="Credit_Calc4"/>
      <sheetName val="quarterly_trends_for_d_&amp;_t14"/>
      <sheetName val="PART-1_COMPUTATION_OF_INCOME4"/>
      <sheetName val="Comp__Transaction4"/>
      <sheetName val="Data_validation-_DO_NOT_Delete4"/>
      <sheetName val="quarterly_trends_for_d_&amp;_t1_xl4"/>
      <sheetName val="\Applications\Microsoft_Office4"/>
      <sheetName val="Look_Up4"/>
      <sheetName val="1Q-ICM_Detail_O_360_F3"/>
      <sheetName val="2Q-ICM_Detail_O_360_G3"/>
      <sheetName val="3Q-ICM_Detail_O_360_H3"/>
      <sheetName val="Section_78_Gross_Up{C}3"/>
      <sheetName val="Intercompany_Profit{A}2"/>
      <sheetName val="Summary_Schedule_M-12"/>
      <sheetName val="Political_Contributions{A}2"/>
      <sheetName val="Capital_Loss_&amp;_Carryover{A}2"/>
      <sheetName val="Selling_Cost_breakdown2"/>
      <sheetName val="Targets_20162"/>
      <sheetName val="Forecast_Period2"/>
      <sheetName val="Entity_List2"/>
      <sheetName val="PwC_Notes2"/>
      <sheetName val="99_Contingency_Analysis2"/>
      <sheetName val="Share_Price_Toggle_Template2"/>
      <sheetName val="Period_Cost_Bridge1"/>
      <sheetName val="Data_Lists_1"/>
      <sheetName val="22410001-01_021"/>
      <sheetName val="Drop_down_list1"/>
      <sheetName val="General_Information1"/>
      <sheetName val="Page_11"/>
      <sheetName val="[quarterly_trends_for_d_&amp;_t1_x1"/>
      <sheetName val="Static_Data1"/>
      <sheetName val="I-1_FY18_IP_RF1"/>
      <sheetName val="Guide_by_Rep1"/>
      <sheetName val="Guide_Lines1"/>
      <sheetName val="Sheet1_(2)6"/>
      <sheetName val="Credit_Calc5"/>
      <sheetName val="quarterly_trends_for_d_&amp;_t15"/>
      <sheetName val="PART-1_COMPUTATION_OF_INCOME5"/>
      <sheetName val="Comp__Transaction5"/>
      <sheetName val="Data_validation-_DO_NOT_Delete5"/>
      <sheetName val="quarterly_trends_for_d_&amp;_t1_xl5"/>
      <sheetName val="\Applications\Microsoft_Office5"/>
      <sheetName val="Look_Up5"/>
      <sheetName val="1Q-ICM_Detail_O_360_F4"/>
      <sheetName val="2Q-ICM_Detail_O_360_G4"/>
      <sheetName val="3Q-ICM_Detail_O_360_H4"/>
      <sheetName val="Section_78_Gross_Up{C}4"/>
      <sheetName val="Intercompany_Profit{A}3"/>
      <sheetName val="Summary_Schedule_M-13"/>
      <sheetName val="Political_Contributions{A}3"/>
      <sheetName val="Capital_Loss_&amp;_Carryover{A}3"/>
      <sheetName val="Selling_Cost_breakdown3"/>
      <sheetName val="Targets_20163"/>
      <sheetName val="Forecast_Period3"/>
      <sheetName val="Entity_List3"/>
      <sheetName val="PwC_Notes3"/>
      <sheetName val="99_Contingency_Analysis3"/>
      <sheetName val="Share_Price_Toggle_Template3"/>
      <sheetName val="Period_Cost_Bridge2"/>
      <sheetName val="Data_Lists_2"/>
      <sheetName val="22410001-01_022"/>
      <sheetName val="Drop_down_list2"/>
      <sheetName val="General_Information2"/>
      <sheetName val="Page_12"/>
      <sheetName val="[quarterly_trends_for_d_&amp;_t1_x2"/>
      <sheetName val="Static_Data2"/>
      <sheetName val="I-1_FY18_IP_RF2"/>
      <sheetName val="Guide_by_Rep2"/>
      <sheetName val="Guide_Lines2"/>
      <sheetName val="ProdCompar"/>
      <sheetName val="asset_catg"/>
      <sheetName val="IPS2004 non-regional"/>
      <sheetName val="1601 Detail information"/>
      <sheetName val="JE10310X"/>
      <sheetName val=".1 Manhattan Beach"/>
      <sheetName val="(C) Tax Entity Hierachy"/>
      <sheetName val="Full Revenue Graph (2)"/>
      <sheetName val="Sheet1_(2)7"/>
      <sheetName val="Credit_Calc6"/>
      <sheetName val="PART-1_COMPUTATION_OF_INCOME6"/>
      <sheetName val="Comp__Transaction6"/>
      <sheetName val="quarterly_trends_for_d_&amp;_t16"/>
      <sheetName val="1Q-ICM_Detail_O_360_F5"/>
      <sheetName val="2Q-ICM_Detail_O_360_G5"/>
      <sheetName val="3Q-ICM_Detail_O_360_H5"/>
      <sheetName val="Section_78_Gross_Up{C}5"/>
      <sheetName val="Data_validation-_DO_NOT_Delete6"/>
      <sheetName val="Intercompany_Profit{A}4"/>
      <sheetName val="Summary_Schedule_M-14"/>
      <sheetName val="Political_Contributions{A}4"/>
      <sheetName val="Capital_Loss_&amp;_Carryover{A}4"/>
      <sheetName val="quarterly_trends_for_d_&amp;_t1_xl6"/>
      <sheetName val="\Applications\Microsoft_Office6"/>
      <sheetName val="Look_Up6"/>
      <sheetName val="Entity_List4"/>
      <sheetName val="Forecast_Period4"/>
      <sheetName val="99_Contingency_Analysis4"/>
      <sheetName val="PwC_Notes4"/>
      <sheetName val="Selling_Cost_breakdown4"/>
      <sheetName val="Targets_20164"/>
      <sheetName val="Period_Cost_Bridge3"/>
      <sheetName val="Share_Price_Toggle_Template4"/>
      <sheetName val="Data_Lists_3"/>
      <sheetName val="22410001-01_023"/>
      <sheetName val="General_Information3"/>
      <sheetName val="Page_13"/>
      <sheetName val="[quarterly_trends_for_d_&amp;_t1_x3"/>
      <sheetName val="Drop_down_list3"/>
      <sheetName val="Static_Data3"/>
      <sheetName val="I-1_FY18_IP_RF3"/>
      <sheetName val="Guide_by_Rep3"/>
      <sheetName val="Guide_Lines3"/>
      <sheetName val="Capital_IQ_Sheet-GPC"/>
      <sheetName val="Exception_List_Drop_Down"/>
      <sheetName val="SALES_BONUS_US"/>
      <sheetName val="(A-1)_Tax_Entity_Hierarchy"/>
      <sheetName val="Manual_Input"/>
      <sheetName val="Drop_Down_Lists"/>
      <sheetName val="Name_List"/>
      <sheetName val="_quarterly_trends_for_d___t1__2"/>
      <sheetName val="_quarterly_trends_for_d___t1__3"/>
      <sheetName val="_quarterly_trends_for_d___t1__4"/>
      <sheetName val="_quarterly_trends_for_d___t1__5"/>
      <sheetName val="Sheet1_(2)8"/>
      <sheetName val="Credit_Calc7"/>
      <sheetName val="PART-1_COMPUTATION_OF_INCOME7"/>
      <sheetName val="Comp__Transaction7"/>
      <sheetName val="quarterly_trends_for_d_&amp;_t17"/>
      <sheetName val="1Q-ICM_Detail_O_360_F6"/>
      <sheetName val="2Q-ICM_Detail_O_360_G6"/>
      <sheetName val="3Q-ICM_Detail_O_360_H6"/>
      <sheetName val="Section_78_Gross_Up{C}6"/>
      <sheetName val="Data_validation-_DO_NOT_Delete7"/>
      <sheetName val="Intercompany_Profit{A}5"/>
      <sheetName val="Summary_Schedule_M-15"/>
      <sheetName val="Political_Contributions{A}5"/>
      <sheetName val="Capital_Loss_&amp;_Carryover{A}5"/>
      <sheetName val="quarterly_trends_for_d_&amp;_t1_xl7"/>
      <sheetName val="\Applications\Microsoft_Office7"/>
      <sheetName val="Look_Up7"/>
      <sheetName val="Forecast_Period5"/>
      <sheetName val="Entity_List5"/>
      <sheetName val="Selling_Cost_breakdown5"/>
      <sheetName val="Targets_20165"/>
      <sheetName val="99_Contingency_Analysis5"/>
      <sheetName val="PwC_Notes5"/>
      <sheetName val="Period_Cost_Bridge4"/>
      <sheetName val="Share_Price_Toggle_Template5"/>
      <sheetName val="Data_Lists_4"/>
      <sheetName val="22410001-01_024"/>
      <sheetName val="General_Information4"/>
      <sheetName val="Page_14"/>
      <sheetName val="Drop_down_list4"/>
      <sheetName val="[quarterly_trends_for_d_&amp;_t1_x4"/>
      <sheetName val="Static_Data4"/>
      <sheetName val="I-1_FY18_IP_RF4"/>
      <sheetName val="Guide_by_Rep4"/>
      <sheetName val="Guide_Lines4"/>
      <sheetName val="Capital_IQ_Sheet-GPC1"/>
      <sheetName val="Exception_List_Drop_Down1"/>
      <sheetName val="Name_List1"/>
      <sheetName val="HOSPICE_OPSUM1"/>
      <sheetName val="(A-1)_Tax_Entity_Hierarchy1"/>
      <sheetName val="Manual_Input1"/>
      <sheetName val="Drop_Down_Lists1"/>
      <sheetName val="SALES_BONUS_US1"/>
      <sheetName val="IPS2004_non-regional"/>
      <sheetName val="1601_Detail_information"/>
      <sheetName val="August 02 Corrected"/>
      <sheetName val="New Charts"/>
      <sheetName val="BS March 2020"/>
      <sheetName val="Drop Downs"/>
      <sheetName val=" TB Summaries"/>
      <sheetName val="Comb Dividends"/>
      <sheetName val="sales vol."/>
      <sheetName val="Detailed Consolidation"/>
      <sheetName val="Control Panel and TOC"/>
      <sheetName val="SB Forecast - Diva"/>
      <sheetName val="Subs Summ (2)"/>
      <sheetName val="Subs_Summ_(2)"/>
      <sheetName val="Slide 18"/>
      <sheetName val="Slide 24"/>
      <sheetName val="Slide 11"/>
      <sheetName val="Slide 23"/>
      <sheetName val="Slide 21"/>
      <sheetName val="Slide 19"/>
      <sheetName val="Slide 20"/>
      <sheetName val="$"/>
      <sheetName val="Kids_Planned_Summary1"/>
      <sheetName val="CTN_-_Upload1"/>
      <sheetName val="Entry_Sheet2"/>
      <sheetName val="C&amp;C_PPA_IMG1"/>
      <sheetName val="DCF_IMG1"/>
      <sheetName val="Tech_Assump_IMG1"/>
      <sheetName val="ip_Reports_IMG1"/>
      <sheetName val="ip_Holos_IMG1"/>
      <sheetName val="ip_Info_IMG1"/>
      <sheetName val="dev_Reports_IMG1"/>
      <sheetName val="dev_Holos_IMG1"/>
      <sheetName val="dev_Info_IMG1"/>
      <sheetName val="Gw_IMG1"/>
      <sheetName val="WACC_IMG1"/>
      <sheetName val="O-1_(277)1"/>
      <sheetName val="O-1_(425)1"/>
      <sheetName val="O-1_(521)1"/>
      <sheetName val="O-1_(626)_1"/>
      <sheetName val="TB_3-071"/>
      <sheetName val="IncStmt_3-071"/>
      <sheetName val="BalSheet_3-071"/>
      <sheetName val="A1_-_Income_Statement1"/>
      <sheetName val="Sch_21"/>
      <sheetName val="RealtyRates_data1"/>
      <sheetName val="Table_1_11"/>
      <sheetName val="Labels_and_Vlookups1"/>
      <sheetName val="Rev_Growth_Rate1"/>
      <sheetName val="Debt_Regressions1"/>
      <sheetName val="Companies_&amp;_Cars1"/>
      <sheetName val="CA_Lab_Equp1"/>
      <sheetName val="Div_Upload1"/>
      <sheetName val="DATA_GRAFICAS1"/>
      <sheetName val="Consol_Opening_BS_Worksheet_1"/>
      <sheetName val="List_of_Resources_and_Roles1"/>
      <sheetName val="FY18_Rate_Card1"/>
      <sheetName val="LIST_OF_OTP_ADJ_Hide1"/>
      <sheetName val="Unit_List_Hide1"/>
      <sheetName val="CONTINENT_CODE1"/>
      <sheetName val="(D2)_DCF1"/>
      <sheetName val="Non-Statistical_Sampling_Maste1"/>
      <sheetName val="UST_Holdings1"/>
      <sheetName val="Operating_Statistics1"/>
      <sheetName val="MARKET_INFO1"/>
      <sheetName val="Burn_Rate1"/>
      <sheetName val="Income_by_Year1"/>
      <sheetName val="Income_by_Quarter_1"/>
      <sheetName val="Income_by_Month1"/>
      <sheetName val="Salary_&amp;_Expenses1"/>
      <sheetName val="Project_Overview"/>
      <sheetName val="WW_-_Promo_Plan"/>
      <sheetName val="Deal_CF"/>
      <sheetName val="Fawcett_Exhibits"/>
      <sheetName val="JATO WorksheetR?o?o?t? ?"/>
      <sheetName val="irr"/>
      <sheetName val="U2007"/>
      <sheetName val="JATO WorksheetRoot "/>
      <sheetName val="Beta"/>
      <sheetName val="Department Mapping"/>
      <sheetName val="Admin006"/>
      <sheetName val="Certent Expense by Quarter Q1&amp;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/>
      <sheetData sheetId="600"/>
      <sheetData sheetId="60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/>
      <sheetData sheetId="849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/>
      <sheetData sheetId="969" refreshError="1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BS"/>
      <sheetName val="IS"/>
      <sheetName val="Notes"/>
      <sheetName val="Budget"/>
      <sheetName val="TB"/>
      <sheetName val="JEs"/>
      <sheetName val="C1"/>
      <sheetName val="D1"/>
      <sheetName val="D5"/>
      <sheetName val="E1"/>
      <sheetName val="F1 "/>
      <sheetName val="Operating Budget"/>
      <sheetName val="F2"/>
      <sheetName val="F4"/>
      <sheetName val="Update"/>
      <sheetName val="TOC"/>
      <sheetName val="Procedu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 Rx Volume"/>
      <sheetName val="Sheet2"/>
      <sheetName val="Program Names"/>
      <sheetName val="Reference"/>
      <sheetName val="Retail_Rx_Volume"/>
      <sheetName val="Program_Name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urday"/>
      <sheetName val="Sheet2"/>
      <sheetName val="WED."/>
      <sheetName val="Sunda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TC"/>
      <sheetName val="BS"/>
      <sheetName val="IS"/>
      <sheetName val="COMP INCOME"/>
      <sheetName val="CASH FLOWS"/>
      <sheetName val="N"/>
      <sheetName val="EXPENSE VARIANCES"/>
      <sheetName val="TB"/>
      <sheetName val="C1"/>
      <sheetName val="C2"/>
      <sheetName val="I"/>
      <sheetName val="PR"/>
      <sheetName val="L1"/>
      <sheetName val="L2"/>
      <sheetName val="RS"/>
      <sheetName val="INVESTMENTS"/>
      <sheetName val="J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9 (LN1060) Host RR Actuals"/>
      <sheetName val="Sheet2"/>
      <sheetName val="FY09 (LN1060) Host RR Outlook"/>
      <sheetName val="Adj Calc"/>
      <sheetName val="FY09_(LN1060)_Host_RR_Actuals"/>
      <sheetName val="FY09_(LN1060)_Host_RR_Outlook"/>
      <sheetName val="Adj_Cal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50"/>
      <sheetName val="216"/>
      <sheetName val="228"/>
      <sheetName val="256"/>
      <sheetName val="260"/>
      <sheetName val="264"/>
      <sheetName val="266"/>
      <sheetName val="267"/>
      <sheetName val="282"/>
      <sheetName val="292"/>
      <sheetName val="322"/>
      <sheetName val="376"/>
      <sheetName val="390"/>
      <sheetName val="409"/>
      <sheetName val="413"/>
      <sheetName val="452"/>
      <sheetName val="483"/>
      <sheetName val="588"/>
      <sheetName val="595"/>
      <sheetName val="598"/>
      <sheetName val="610"/>
      <sheetName val="613"/>
      <sheetName val="623"/>
      <sheetName val="640"/>
      <sheetName val="655"/>
      <sheetName val="656"/>
      <sheetName val="665"/>
      <sheetName val="670"/>
      <sheetName val="675"/>
      <sheetName val="690"/>
      <sheetName val="700"/>
      <sheetName val="722"/>
      <sheetName val="729"/>
      <sheetName val="743"/>
      <sheetName val="753"/>
      <sheetName val="754"/>
      <sheetName val="756"/>
      <sheetName val="777"/>
      <sheetName val="778"/>
      <sheetName val="780"/>
      <sheetName val="792"/>
      <sheetName val="802"/>
      <sheetName val="804"/>
      <sheetName val="817"/>
      <sheetName val="828"/>
      <sheetName val="854"/>
      <sheetName val="874"/>
      <sheetName val="883"/>
      <sheetName val="897"/>
      <sheetName val="Dropdown Reference"/>
      <sheetName val="NAICS Codes"/>
      <sheetName val="PortfolioValidation"/>
      <sheetName val="Transaction Typ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IncidentsEAP"/>
      <sheetName val="ref-lists"/>
      <sheetName val="dropdown lists"/>
      <sheetName val="ANALYSIS 2 - COST BASE CAL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QC"/>
      <sheetName val="Version"/>
      <sheetName val="Amtrak_P&amp;L"/>
      <sheetName val="Connecting"/>
      <sheetName val="ROI"/>
      <sheetName val="MultiYear"/>
      <sheetName val="Amtrak_Metrics"/>
      <sheetName val="Scheduled_Consist"/>
      <sheetName val="MoE"/>
      <sheetName val="209_P&amp;L"/>
      <sheetName val="209_Metrics"/>
      <sheetName val="Demand"/>
      <sheetName val="Costs"/>
      <sheetName val="Sched_BaseSW"/>
      <sheetName val="Sched_BaseNE"/>
      <sheetName val="Timetable_BaseSW"/>
      <sheetName val="Timetable_BaseNE"/>
      <sheetName val="Sched_PropSW"/>
      <sheetName val="Sched_PropNE"/>
      <sheetName val="Timetable_PropSW"/>
      <sheetName val="Timetable_PropNE"/>
      <sheetName val="Consist"/>
      <sheetName val="OTP"/>
      <sheetName val="Crew"/>
      <sheetName val="Stations"/>
      <sheetName val="Turnaround"/>
      <sheetName val="LocoCarMaint"/>
      <sheetName val="RSO"/>
      <sheetName val="CapInputs"/>
      <sheetName val="Adjustments"/>
      <sheetName val="Stats"/>
      <sheetName val="ConnectingCosts"/>
      <sheetName val="FuelFactors"/>
      <sheetName val="MechStat%"/>
      <sheetName val="EPowerFactors"/>
      <sheetName val="Inflation"/>
      <sheetName val="Additive Rates"/>
      <sheetName val="Base"/>
      <sheetName val="List_Data"/>
      <sheetName val="BiSpli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"/>
      <sheetName val="Rollup"/>
      <sheetName val="Walk"/>
      <sheetName val="Apr14"/>
      <sheetName val="Sharepoint"/>
      <sheetName val="Facil_backup"/>
      <sheetName val="Adjustments"/>
      <sheetName val="AIMS"/>
      <sheetName val="BPC"/>
      <sheetName val="TargetWalk"/>
      <sheetName val="Operating"/>
      <sheetName val="Headcount"/>
      <sheetName val="Terminals_Dtls"/>
      <sheetName val="Management_HC"/>
      <sheetName val="BPC_HC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CarTypes"/>
      <sheetName val="Contents"/>
      <sheetName val="10 Output"/>
      <sheetName val="11 Calculation"/>
      <sheetName val="20 Fleet"/>
      <sheetName val="21 Shop"/>
      <sheetName val="22 Protect"/>
      <sheetName val="23 Services"/>
      <sheetName val="31 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FY07 Build Modified"/>
      <sheetName val="Summary"/>
      <sheetName val="Summary Build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FY07_Build_Modified"/>
      <sheetName val="Summary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USER SUMMARY"/>
      <sheetName val="LINE SEGMENT ALLOCATIONS"/>
      <sheetName val="NORTH END MASTER"/>
      <sheetName val="SOUTH END MASTER"/>
      <sheetName val="HARRISBURG LINE"/>
      <sheetName val="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_Devel_Annual"/>
      <sheetName val="Replacement"/>
      <sheetName val="SummaryRestatedBase"/>
      <sheetName val="SummaryEfficiency"/>
      <sheetName val="SummaryModerate"/>
      <sheetName val="SummaryAgressive"/>
      <sheetName val="Base"/>
      <sheetName val="Efficiency1"/>
      <sheetName val="Efficiency2"/>
      <sheetName val="Secular Growth"/>
      <sheetName val="ModCorridor"/>
      <sheetName val="AggressiveCorridor"/>
      <sheetName val="1_Avail"/>
      <sheetName val="EquipPlan"/>
      <sheetName val="Cars for secular growth"/>
      <sheetName val="SecularGrowthTable"/>
      <sheetName val="BreakByYr"/>
      <sheetName val="CarsRequired"/>
      <sheetName val="EnhancedServices"/>
      <sheetName val="ServicesDb"/>
      <sheetName val="RidershipProjections"/>
      <sheetName val="CarsDb"/>
      <sheetName val="CoachLoadFactor"/>
      <sheetName val="Secular_Growth"/>
      <sheetName val="Cars_for_secular_grow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ST BY PROJECT"/>
      <sheetName val="Unit_Cost Print"/>
      <sheetName val="7-27-2019"/>
      <sheetName val="7-26-2019"/>
      <sheetName val="7-25-2019"/>
      <sheetName val="7-24-2019"/>
      <sheetName val="7-12-2019"/>
      <sheetName val="7-11-2019"/>
      <sheetName val="7-10-2019"/>
      <sheetName val="7-9-2019"/>
      <sheetName val="7-3-2019"/>
      <sheetName val="7-2-2019"/>
      <sheetName val="6-28-2019"/>
      <sheetName val="6-27-2019"/>
      <sheetName val="6-26-2019 "/>
      <sheetName val="6-19-2019"/>
      <sheetName val="6-18-2019-RevisedFlyover"/>
      <sheetName val="6-18-2019"/>
      <sheetName val="6-17-2019"/>
      <sheetName val="6-14-2019"/>
      <sheetName val="5-29-2019"/>
      <sheetName val="5-22-2019"/>
      <sheetName val="5-14-19 YOE"/>
      <sheetName val="5-13-2019"/>
      <sheetName val="5-10-2019 New Cost"/>
      <sheetName val="5-10-2019 Old Cost "/>
      <sheetName val="YOE "/>
      <sheetName val="5-9-2019 -YOE"/>
      <sheetName val="5-9-2019"/>
      <sheetName val="5-8-2019"/>
      <sheetName val="5-7-2019"/>
      <sheetName val="5-6-2019"/>
      <sheetName val="5-5-2019"/>
      <sheetName val="4-30-2019"/>
      <sheetName val="4-29-2019"/>
      <sheetName val="VRE_Summary"/>
      <sheetName val="Future_Build-Out_Summary"/>
      <sheetName val="Day_1_Build-Out_Summary"/>
      <sheetName val="Purchase_Summary"/>
      <sheetName val="Sheet2"/>
      <sheetName val="CSX-Value_Summary"/>
      <sheetName val="DC2RVA_Summary"/>
      <sheetName val="E. Option (Backup)"/>
      <sheetName val="East Option-Summary"/>
      <sheetName val="East Option"/>
      <sheetName val="YOE"/>
      <sheetName val="Bridge_Quantities"/>
      <sheetName val="Quantities"/>
      <sheetName val="MAIN_SHEET"/>
      <sheetName val="COST BREAKDOWN"/>
      <sheetName val="East Option - Detail"/>
      <sheetName val="Unit_Cost"/>
      <sheetName val="List"/>
      <sheetName val="Spending Schemes"/>
      <sheetName val="Valuation_Elements"/>
      <sheetName val="Inflation"/>
      <sheetName val="Formulas"/>
      <sheetName val="CostEstimate_Project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 Info"/>
      <sheetName val="Finance Est Support Data"/>
      <sheetName val="Estimate FY10"/>
      <sheetName val="California Contract Format"/>
      <sheetName val="CA Contract Mapping"/>
      <sheetName val="08 v 07"/>
      <sheetName val="08 Detail"/>
      <sheetName val="07 Detail"/>
      <sheetName val="Escalations"/>
      <sheetName val="Trains"/>
      <sheetName val="Advertising"/>
      <sheetName val="FY08 Riders"/>
      <sheetName val="FY07 Fin Est"/>
      <sheetName val="FY08 Fin Est"/>
      <sheetName val="FY09 Fin Est"/>
      <sheetName val="Retro Wage"/>
      <sheetName val="FY09 - FY10 Revenue"/>
      <sheetName val="FY09 - FY10 Rider"/>
      <sheetName val="FY09 - FY10 TPM"/>
      <sheetName val="FY09-FY10 F&amp;B Revenue Budget"/>
      <sheetName val="HBG Line Analysis"/>
      <sheetName val="GRaed 09 Revs"/>
      <sheetName val="OSSSO State Cost"/>
      <sheetName val="Additional OAK Police"/>
      <sheetName val="STL New Employees"/>
      <sheetName val="MOW Summary"/>
      <sheetName val="FY09 LN055 (Fuel) Outlook"/>
      <sheetName val="FY09 &amp; FY10 (LN1060) Host RR"/>
      <sheetName val="FY09 LN545 (Incentives) Outlook"/>
      <sheetName val="SCRRA Adjs"/>
      <sheetName val="Baggage"/>
      <sheetName val="Yard FY08 Allocations"/>
      <sheetName val="Turnaround"/>
      <sheetName val="PHL RC1167 Allocation"/>
      <sheetName val="CUS Add-ons"/>
      <sheetName val="Downeaster MoE Workup"/>
      <sheetName val="Alstrom PO Adjustment"/>
      <sheetName val="Billing Methodologies"/>
      <sheetName val="Setup_Info"/>
      <sheetName val="Finance_Est_Support_Data"/>
      <sheetName val="Estimate_FY10"/>
      <sheetName val="California_Contract_Format"/>
      <sheetName val="CA_Contract_Mapping"/>
      <sheetName val="08_v_07"/>
      <sheetName val="08_Detail"/>
      <sheetName val="07_Detail"/>
      <sheetName val="FY08_Riders"/>
      <sheetName val="FY07_Fin_Est"/>
      <sheetName val="FY08_Fin_Est"/>
      <sheetName val="FY09_Fin_Est"/>
      <sheetName val="Retro_Wage"/>
      <sheetName val="FY09_-_FY10_Revenue"/>
      <sheetName val="FY09_-_FY10_Rider"/>
      <sheetName val="FY09_-_FY10_TPM"/>
      <sheetName val="FY09-FY10_F&amp;B_Revenue_Budget"/>
      <sheetName val="HBG_Line_Analysis"/>
      <sheetName val="GRaed_09_Revs"/>
      <sheetName val="OSSSO_State_Cost"/>
      <sheetName val="Additional_OAK_Police"/>
      <sheetName val="STL_New_Employees"/>
      <sheetName val="MOW_Summary"/>
      <sheetName val="FY09_LN055_(Fuel)_Outlook"/>
      <sheetName val="FY09_&amp;_FY10_(LN1060)_Host_RR"/>
      <sheetName val="FY09_LN545_(Incentives)_Outlook"/>
      <sheetName val="SCRRA_Adjs"/>
      <sheetName val="Yard_FY08_Allocations"/>
      <sheetName val="PHL_RC1167_Allocation"/>
      <sheetName val="CUS_Add-ons"/>
      <sheetName val="Downeaster_MoE_Workup"/>
      <sheetName val="Alstrom_PO_Adjustment"/>
      <sheetName val="Billing_Methodolog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Defs_Assets"/>
      <sheetName val="TrainMilesTemplate"/>
      <sheetName val="Seg_Summary_AmkOwned"/>
      <sheetName val="Seg_Summary"/>
      <sheetName val="Segment Details_db"/>
      <sheetName val="TrainCounts"/>
      <sheetName val="Segmen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 sup based on adv pay"/>
      <sheetName val="Caltran Invoice-Rt35-39-July"/>
      <sheetName val="Invoice Support"/>
      <sheetName val="Ticket Revenue Recon"/>
      <sheetName val="Train &amp; Other Revenue"/>
      <sheetName val="Train Revenue 1"/>
      <sheetName val="Food Service revenue "/>
      <sheetName val="Jul 10-APT Rev Rte 35"/>
      <sheetName val="Jul 10-APT-Rte 39"/>
      <sheetName val="Brio Rev-Rte35-July10"/>
      <sheetName val="Brio July 10-Rte39- Rev"/>
      <sheetName val="Fuel"/>
      <sheetName val="Fuel Costs"/>
      <sheetName val="July 10-Rte 35-0202-0802"/>
      <sheetName val="July 10-Rt 39-0202-0802"/>
      <sheetName val="Host RR Summary"/>
      <sheetName val="July 10-Rte 35-Host RR"/>
      <sheetName val="July 10-Rte 39-Host RR"/>
      <sheetName val="Statist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  <sheetName val="Page 2"/>
      <sheetName val="Page 3"/>
      <sheetName val="Page 4"/>
      <sheetName val="Page 5"/>
      <sheetName val="Page 6"/>
      <sheetName val="Page 7"/>
      <sheetName val="Page 8"/>
      <sheetName val="Figure 1"/>
      <sheetName val="Figure 2"/>
      <sheetName val="Data"/>
      <sheetName val="Page_2"/>
      <sheetName val="Page_3"/>
      <sheetName val="Page_4"/>
      <sheetName val="Page_5"/>
      <sheetName val="Page_6"/>
      <sheetName val="Page_7"/>
      <sheetName val="Page_8"/>
      <sheetName val="Figure_1"/>
      <sheetName val="Figure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1"/>
      <sheetName val="Sheet2"/>
      <sheetName val="Sheet3"/>
      <sheetName val="Sheet4"/>
      <sheetName val="Sheet5"/>
      <sheetName val="peninsula commuter trains"/>
    </sheetNames>
    <definedNames>
      <definedName name="Data.Top.Left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 Schedule (2)"/>
      <sheetName val="NCSched_20130628"/>
      <sheetName val="NC_Schedule_(2)"/>
    </sheetNames>
    <definedNames>
      <definedName name="Data.Top.Left"/>
    </definedNames>
    <sheetDataSet>
      <sheetData sheetId="0"/>
      <sheetData sheetId="1" refreshError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Opts"/>
      <sheetName val="HP Detail"/>
      <sheetName val="CCF"/>
      <sheetName val="reportData"/>
      <sheetName val="Sheet2"/>
      <sheetName val="HP_Detail"/>
      <sheetName val="Plan Exp &amp; H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Defs_Assets"/>
      <sheetName val="TrainMilesTemplate"/>
      <sheetName val="Seg_Summary_AmkOwned"/>
      <sheetName val="Seg_Summary"/>
      <sheetName val="Segment Details_db"/>
      <sheetName val="TrainCounts"/>
      <sheetName val="Segmen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V"/>
      <sheetName val="2003 blended rate"/>
      <sheetName val="GUIDE"/>
      <sheetName val="MACRS"/>
      <sheetName val="TL"/>
      <sheetName val="Detailed Trial Balance"/>
      <sheetName val="All Group"/>
      <sheetName val="table"/>
      <sheetName val="4A Asset Code"/>
      <sheetName val="ElronDCF2"/>
      <sheetName val="Celsa"/>
      <sheetName val="O-1 (277)"/>
      <sheetName val="O-1 (521)"/>
      <sheetName val="O-1 (626) "/>
      <sheetName val="Sheet1"/>
      <sheetName val="Reference Tables"/>
      <sheetName val="Lookup Table"/>
      <sheetName val="Unifi-Yadkinville Table"/>
      <sheetName val="Dacron Variable Cost Table"/>
      <sheetName val="CPI Coding"/>
      <sheetName val="Info Page"/>
      <sheetName val="5471 p 1"/>
      <sheetName val="2009 Initiatives"/>
      <sheetName val="Worksheet"/>
      <sheetName val="CAd"/>
      <sheetName val="Celply"/>
      <sheetName val="GERbofa"/>
      <sheetName val="GER"/>
      <sheetName val="MEX"/>
      <sheetName val="Novacel"/>
      <sheetName val="USd"/>
      <sheetName val="Vlis"/>
      <sheetName val="Equity"/>
      <sheetName val="#REF"/>
      <sheetName val="Margin Monitor"/>
      <sheetName val="Plasma Targets"/>
      <sheetName val="MAIN"/>
      <sheetName val="EDIT DATA"/>
      <sheetName val="SAP Acct Name"/>
      <sheetName val="Hyperion Acct"/>
      <sheetName val="chart data"/>
      <sheetName val="FY03 Sep Fcst v Firm"/>
      <sheetName val="FY03 Sep Fcst v Act 02"/>
      <sheetName val="materials"/>
      <sheetName val="Accounts Mapping"/>
      <sheetName val="CC Mapping"/>
      <sheetName val="Chart of Accounts"/>
      <sheetName val="Company Mapping"/>
      <sheetName val="Summary"/>
      <sheetName val="Sheet2"/>
      <sheetName val="Lease Bar"/>
      <sheetName val="KTB"/>
      <sheetName val="Sch A - Basic Info"/>
      <sheetName val="Sch E - CF and VA"/>
      <sheetName val="Sch B - ETR"/>
      <sheetName val="data"/>
      <sheetName val="T-2 RateRec"/>
      <sheetName val="Detail Variance"/>
      <sheetName val="EDIT_DATA"/>
      <sheetName val="SAP_Acct_Name"/>
      <sheetName val="Hyperion_Acct"/>
      <sheetName val="Inputs"/>
      <sheetName val="PV Graph Data"/>
      <sheetName val="Control Premium Info"/>
      <sheetName val="Validation"/>
      <sheetName val="KeyMultInputs"/>
      <sheetName val="Rev Growth Rate"/>
      <sheetName val="Personnel Plan-UK"/>
      <sheetName val="P&amp;L Statement-UK"/>
      <sheetName val="Procurement Project"/>
      <sheetName val="Sens"/>
      <sheetName val="2008 CIP Balance"/>
      <sheetName val="Depreciation"/>
      <sheetName val="Codes"/>
      <sheetName val="CaffeVATCY"/>
      <sheetName val="Data Input"/>
      <sheetName val="WACC_Construction"/>
      <sheetName val="sumold"/>
      <sheetName val="FY12 Sept Fcst"/>
      <sheetName val="EXPENSES"/>
      <sheetName val="GeneralInfo"/>
      <sheetName val="WP_Hist ABC"/>
      <sheetName val="NY Depr"/>
      <sheetName val="Bio Accruals"/>
      <sheetName val="11-1"/>
      <sheetName val="ACCT 24050"/>
      <sheetName val="PROVISON"/>
      <sheetName val="Labor Summary"/>
      <sheetName val="For Internal Control"/>
      <sheetName val="Q4 FY20 Reserve"/>
      <sheetName val="Bickmore Reserve by BU 12.31.19"/>
      <sheetName val="Bickmore Reserve by BU 6.30.19"/>
      <sheetName val="Excess Claims 12.31.19"/>
      <sheetName val="Excess Claims 6.30.19"/>
      <sheetName val="Excess Claims 12.31.18"/>
      <sheetName val="Excess claims"/>
      <sheetName val="Bickmore Reserve by BU 12.31.18"/>
      <sheetName val="Bickmore Reserve by BU 6.30.18"/>
      <sheetName val="Product_Dec18"/>
      <sheetName val="Product"/>
      <sheetName val="Product pymnts 1.1-6.30"/>
      <sheetName val="Dec FY20"/>
      <sheetName val="June FY20"/>
      <sheetName val="Dec FY19"/>
      <sheetName val="Jun FY19"/>
      <sheetName val="Jun Chargebacks"/>
      <sheetName val="Dec FY18"/>
      <sheetName val="Interest Rates"/>
      <sheetName val="Co Code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North NY"/>
      <sheetName val="Summary - South NY"/>
      <sheetName val="Summary - Thru NY"/>
      <sheetName val="Summary - Total"/>
      <sheetName val="Regional - Breakout"/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Summary_-_North_NY"/>
      <sheetName val="Summary_-_South_NY"/>
      <sheetName val="Summary_-_Thru_NY"/>
      <sheetName val="Summary_-_Total"/>
      <sheetName val="Regional_-_Breakout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 Model"/>
      <sheetName val="OTP"/>
      <sheetName val="Schedule"/>
      <sheetName val="Stations"/>
      <sheetName val="Rail Fares"/>
      <sheetName val="Growth"/>
      <sheetName val="Rail Acc"/>
      <sheetName val="Station Trips"/>
      <sheetName val="Rail Trips"/>
      <sheetName val="Future Trips"/>
      <sheetName val="SchMP"/>
      <sheetName val="Zonal"/>
      <sheetName val="Schedule Builder"/>
      <sheetName val="Factors"/>
      <sheetName val="Rail Line"/>
      <sheetName val="Trip Builder"/>
      <sheetName val="Auto Imp"/>
      <sheetName val="Air Imp"/>
      <sheetName val="Rail Imp"/>
      <sheetName val="Bus Imp"/>
      <sheetName val="Base Trips"/>
      <sheetName val="Future Shares"/>
      <sheetName val="Short Rail"/>
      <sheetName val="Coefficients"/>
      <sheetName val="Calibration"/>
      <sheetName val="Summary"/>
      <sheetName val="SP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Balance sheet"/>
      <sheetName val="Income"/>
      <sheetName val="Notes"/>
      <sheetName val="Budget"/>
      <sheetName val="TB"/>
      <sheetName val="JEs"/>
      <sheetName val="C1"/>
      <sheetName val="D1"/>
      <sheetName val="D5"/>
      <sheetName val="E1"/>
      <sheetName val="F1"/>
      <sheetName val="F4"/>
      <sheetName val="Travel"/>
      <sheetName val="Update"/>
      <sheetName val="TOC"/>
      <sheetName val="Procedures"/>
      <sheetName val="Premi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OC"/>
      <sheetName val="BS"/>
      <sheetName val="IS"/>
      <sheetName val="Notes"/>
      <sheetName val="Budget"/>
      <sheetName val="REC - CA"/>
      <sheetName val="REC - FD"/>
      <sheetName val="B1-TB"/>
      <sheetName val="B4-JEs"/>
      <sheetName val="C1"/>
      <sheetName val="D1"/>
      <sheetName val="D3-0203"/>
      <sheetName val="F1"/>
      <sheetName val="D2-0304"/>
      <sheetName val="Procedures"/>
      <sheetName val="E1"/>
      <sheetName val="F4"/>
      <sheetName val="Update"/>
      <sheetName val="Bin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LIVE"/>
      <sheetName val="REC"/>
      <sheetName val="BondD"/>
      <sheetName val="FXD"/>
      <sheetName val="EQUD"/>
      <sheetName val="BOND REC"/>
      <sheetName val="EQU FWDS REC"/>
      <sheetName val="SWAP"/>
      <sheetName val="SWAP PRICER"/>
      <sheetName val="ERROR CHECK"/>
      <sheetName val="EXPIRATION SUMMARY"/>
      <sheetName val="GLP DTD PL"/>
      <sheetName val="GLP MTD PL"/>
      <sheetName val="CALC"/>
      <sheetName val="SWAPS"/>
      <sheetName val="CDI Swap Pricer (NO BBG LINKS)"/>
      <sheetName val="BZDIOVRA Index"/>
      <sheetName val="SPOTS"/>
      <sheetName val="FUND"/>
      <sheetName val="SUMMARY"/>
      <sheetName val="Portfolio"/>
      <sheetName val="BUS I"/>
      <sheetName val="BUS II"/>
      <sheetName val="BUS III"/>
      <sheetName val="Separation of Duties"/>
      <sheetName val="Procedures (2)"/>
      <sheetName val="FI contacts (2)"/>
      <sheetName val="FI contacts"/>
      <sheetName val="Equity cont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30 Trains"/>
      <sheetName val="1_Graph_BTU"/>
      <sheetName val="TripTime_OTPGoals"/>
      <sheetName val="Train_PsgrMiles"/>
      <sheetName val="Query2"/>
      <sheetName val="03_averagedata"/>
      <sheetName val="Sheet1"/>
      <sheetName val="Sheet2 (2)"/>
      <sheetName val="ElecPsgrMiles"/>
      <sheetName val="OTP"/>
      <sheetName val="AmtrakTrainMiles"/>
      <sheetName val="CmtrData"/>
      <sheetName val="AInterim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ENTS"/>
      <sheetName val="TRIAL BALANCE"/>
      <sheetName val="BALANCE SHEET"/>
      <sheetName val="INCOME STMT"/>
      <sheetName val="Oper. Expenses"/>
      <sheetName val="NOTES1"/>
      <sheetName val="Budget Var."/>
      <sheetName val="Budget Var. 2"/>
      <sheetName val="Premiums 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ard FY08 Allocations"/>
      <sheetName val="SSY Raw Data"/>
      <sheetName val="LN190 Dump"/>
      <sheetName val="Raw Data"/>
      <sheetName val="CLT Yard"/>
      <sheetName val="AECOM SSY Analysis"/>
      <sheetName val="Yard_FY08_Allocations"/>
      <sheetName val="SSY_Raw_Data"/>
      <sheetName val="LN190_Dump"/>
      <sheetName val="Raw_Data"/>
      <sheetName val="CLT_Yard"/>
      <sheetName val="AECOM_SSY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idors"/>
      <sheetName val="Sheet1"/>
      <sheetName val="SumProg"/>
      <sheetName val="Sheet2"/>
      <sheetName val="Sheet5"/>
      <sheetName val="SumCars"/>
      <sheetName val="SummaryAll"/>
      <sheetName val="CompareProjs"/>
      <sheetName val="AEComProjs"/>
      <sheetName val="SumCarsByType"/>
      <sheetName val="ProjectSets"/>
      <sheetName val="4_FY07Summary (2)"/>
      <sheetName val="Lookup"/>
      <sheetName val="RidershipDetail"/>
      <sheetName val="EquipSets"/>
      <sheetName val="EquipmentDetail"/>
      <sheetName val="1_EquipReq"/>
      <sheetName val="4_FY07Summary"/>
      <sheetName val="Capacity"/>
      <sheetName val="RidershipBackup"/>
      <sheetName val="ProjectionSum"/>
      <sheetName val="Ridership1 (2)"/>
      <sheetName val="xxxPerfGoals (2)"/>
      <sheetName val="Matrix"/>
      <sheetName val="xxxEquipSets (2)"/>
      <sheetName val="SumCarsTemplate"/>
      <sheetName val="xxCapacity"/>
      <sheetName val="SumTrainSets"/>
      <sheetName val="Data&amp;Assumption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Segs4-9"/>
      <sheetName val="Segment Data"/>
      <sheetName val="New Segments 4-19"/>
      <sheetName val="New Segments 5-3"/>
      <sheetName val="Route Maps"/>
      <sheetName val="Rte-Seg Data"/>
      <sheetName val="Rte-Seg LD"/>
      <sheetName val="Rte-Seg LD (2)"/>
      <sheetName val="Rte-Seg Chi Hub"/>
      <sheetName val="Segment_Data"/>
      <sheetName val="New_Segments_4-19"/>
      <sheetName val="New_Segments_5-3"/>
      <sheetName val="Route_Maps"/>
      <sheetName val="Rte-Seg_Data"/>
      <sheetName val="Rte-Seg_LD"/>
      <sheetName val="Rte-Seg_LD_(2)"/>
      <sheetName val="Rte-Seg_Chi_H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CarTypes"/>
      <sheetName val="Contents"/>
      <sheetName val="10 Summary"/>
      <sheetName val="11 Summary by BL"/>
      <sheetName val="12 Capital Plan Wksht"/>
      <sheetName val="13 Calculation"/>
      <sheetName val="20 Fleet"/>
      <sheetName val="21 Shop"/>
      <sheetName val="22 Protect"/>
      <sheetName val="23 Serv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ENG2"/>
      <sheetName val="30 CarTypes"/>
    </sheetNames>
    <definedNames>
      <definedName name="necreqprint"/>
    </defined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New Haven-Springfield"/>
      <sheetName val="FY07_Build"/>
      <sheetName val="New_Haven-Springfie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idor Summary"/>
      <sheetName val="Long Distance Summary"/>
      <sheetName val="Locomotive Summary"/>
      <sheetName val="Assumptions"/>
      <sheetName val="OVH-Reman"/>
      <sheetName val="AmfleetI"/>
      <sheetName val="OtherCorrEquip"/>
      <sheetName val="AmfleetII"/>
      <sheetName val="SuperI"/>
      <sheetName val="SuperII"/>
      <sheetName val="OtherCarProgs"/>
      <sheetName val="Locomotives"/>
      <sheetName val="Non-PsgrEquip"/>
      <sheetName val="EquipAcq"/>
      <sheetName val="EquipAcq (2)"/>
      <sheetName val="Sheet1"/>
      <sheetName val="Facilities"/>
      <sheetName val="Prod_Template"/>
      <sheetName val="Sched_Template"/>
      <sheetName val="Factors"/>
      <sheetName val="Corridor_Summary"/>
      <sheetName val="Long_Distance_Summary"/>
      <sheetName val="Locomotive_Summary"/>
      <sheetName val="EquipAcq_(2)"/>
      <sheetName val="Factory Sales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AmfleetI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Steuerung"/>
      <sheetName val="Teil 1 - Prozentwerte"/>
      <sheetName val="Teil 2 - Absolutwerte"/>
      <sheetName val="Zuschlaege_Einschluesse"/>
      <sheetName val="Projekteinzelkostenerfassung"/>
      <sheetName val="Kap.kost.ges."/>
      <sheetName val="Hinweise"/>
      <sheetName val="Berechnungen"/>
      <sheetName val="Kalkulationsprotokoll ab 25.06 "/>
      <sheetName val="Kalkulationsentwickl. bis 25.06"/>
      <sheetName val="Produktgruppentabelle"/>
      <sheetName val="Funktionsgruppentabelle"/>
      <sheetName val="PBBT_Intern"/>
      <sheetName val="Teil_1_-_Prozentwerte"/>
      <sheetName val="Teil_2_-_Absolutwerte"/>
      <sheetName val="Kap_kost_ges_"/>
      <sheetName val="Kalkulationsprotokoll_ab_25_06_"/>
      <sheetName val="Kalkulationsentwickl__bis_25_06"/>
      <sheetName val="Graphs"/>
      <sheetName val="Teil_1_-_Prozentwerte1"/>
      <sheetName val="Teil_2_-_Absolutwerte1"/>
      <sheetName val="Kap_kost_ges_1"/>
      <sheetName val="Kalkulationsprotokoll_ab_25_061"/>
      <sheetName val="Kalkulationsentwickl__bis_25_01"/>
      <sheetName val="Teil_1_-_Prozentwerte2"/>
      <sheetName val="Teil_2_-_Absolutwerte2"/>
      <sheetName val="Kap_kost_ges_2"/>
      <sheetName val="Kalkulationsprotokoll_ab_25_062"/>
      <sheetName val="Kalkulationsentwickl__bis_25_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XDataTables"/>
      <sheetName val="Sheet1"/>
      <sheetName val="ReportApp"/>
      <sheetName val="General Framework Code"/>
      <sheetName val="Declar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Forecast"/>
      <sheetName val="Base"/>
      <sheetName val="CorridorSplit"/>
      <sheetName val="Additives"/>
      <sheetName val="AdjustmentTracking"/>
      <sheetName val="Fact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V"/>
      <sheetName val="GOREDCF"/>
      <sheetName val="Income"/>
      <sheetName val="Tax Rates"/>
      <sheetName val="Sheet5"/>
      <sheetName val="01 Fcst Vol"/>
      <sheetName val="GLC List"/>
      <sheetName val="Print"/>
      <sheetName val="Total"/>
      <sheetName val="7B Market-Based Depreciation"/>
      <sheetName val="LE550"/>
      <sheetName val="TL"/>
      <sheetName val="Sterl Cap"/>
      <sheetName val="KTB"/>
      <sheetName val="#REF"/>
      <sheetName val="MACRS"/>
      <sheetName val="Software"/>
      <sheetName val="MGM11"/>
      <sheetName val="MGM12"/>
      <sheetName val="MGM1"/>
      <sheetName val="MGM4"/>
      <sheetName val="MGM3"/>
      <sheetName val="Headcount"/>
      <sheetName val="PwCTickmarks"/>
      <sheetName val="cover_page"/>
      <sheetName val="Dropdowns - do not change"/>
      <sheetName val="Actual Roll Up"/>
      <sheetName val="ASSUMP"/>
      <sheetName val="Inputs"/>
      <sheetName val="Debt"/>
      <sheetName val="Lookup"/>
      <sheetName val="SLS UPLOAD"/>
      <sheetName val="sg_aut"/>
      <sheetName val="sg_bga"/>
      <sheetName val="sg_con"/>
      <sheetName val="sg_dis"/>
      <sheetName val="sg_ind"/>
      <sheetName val="sg_mcm"/>
      <sheetName val="sg_mob"/>
      <sheetName val="sg_pcc"/>
      <sheetName val="sg_pda"/>
      <sheetName val="sh_aut"/>
      <sheetName val="sh_ind"/>
      <sheetName val="sh_mai"/>
      <sheetName val="sh_net"/>
      <sheetName val="sh_off"/>
      <sheetName val="sh_pc"/>
      <sheetName val="sh_tel"/>
      <sheetName val="May  Balance Sheet"/>
      <sheetName val="DCEInputs"/>
      <sheetName val="U2 - Sales"/>
      <sheetName val="Picscout"/>
      <sheetName val="PO Detail-Disc!"/>
      <sheetName val="B.S."/>
      <sheetName val="2004"/>
      <sheetName val="Consolidated P&amp;L"/>
      <sheetName val="AMCP Comparison"/>
      <sheetName val="Contract Waterfall"/>
      <sheetName val="Output P&amp;L"/>
      <sheetName val="Transaction Comps"/>
      <sheetName val="LBO"/>
      <sheetName val="Output P&amp;L w Acq RFP"/>
      <sheetName val="Monthly Transport Data"/>
      <sheetName val="Output S&amp;U"/>
      <sheetName val="LIST"/>
      <sheetName val="Сталь"/>
      <sheetName val="Model"/>
      <sheetName val="AI"/>
      <sheetName val="AUUS-6.3AUUS TB"/>
      <sheetName val="Price 2"/>
      <sheetName val="Fee Schedule"/>
      <sheetName val="Price_2"/>
      <sheetName val="Control"/>
      <sheetName val="Summary"/>
      <sheetName val="KeyMultInputs"/>
      <sheetName val="STD"/>
      <sheetName val="Roster"/>
      <sheetName val="BillableHrSummary"/>
      <sheetName val="DIL4"/>
      <sheetName val="Rev Growth Rate"/>
      <sheetName val="Volatility Calc"/>
      <sheetName val="Prices"/>
      <sheetName val="C"/>
      <sheetName val="1"/>
      <sheetName val="WPA_Assum"/>
      <sheetName val="detail"/>
      <sheetName val="Assump and Results"/>
      <sheetName val="CRITERIA1"/>
      <sheetName val="For Internal Control"/>
      <sheetName val="Q4 FY20 Reserve"/>
      <sheetName val="Bickmore Reserve by BU 12.31.19"/>
      <sheetName val="Bickmore Reserve by BU 6.30.19"/>
      <sheetName val="Excess Claims 12.31.19"/>
      <sheetName val="Excess Claims 6.30.19"/>
      <sheetName val="Excess Claims 12.31.18"/>
      <sheetName val="Excess claims"/>
      <sheetName val="Bickmore Reserve by BU 12.31.18"/>
      <sheetName val="Bickmore Reserve by BU 6.30.18"/>
      <sheetName val="Product_Dec18"/>
      <sheetName val="Product"/>
      <sheetName val="Product pymnts 1.1-6.30"/>
      <sheetName val="Dec FY20"/>
      <sheetName val="June FY20"/>
      <sheetName val="Dec FY19"/>
      <sheetName val="Jun FY19"/>
      <sheetName val="Jun Chargebacks"/>
      <sheetName val="Dec FY18"/>
      <sheetName val="Interest Rates"/>
      <sheetName val="Co Code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Comparison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ta Dictionary"/>
      <sheetName val="Agency Total by Function"/>
      <sheetName val="Operating Expenses by Type"/>
      <sheetName val="Agency Total by Type"/>
      <sheetName val="Summary Tables by Function"/>
      <sheetName val="Summary Tables by Type"/>
      <sheetName val="NTD Operating Expenses Data 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in19"/>
      <sheetName val="Train20"/>
      <sheetName val="Train29"/>
      <sheetName val="Train30"/>
      <sheetName val="Train42"/>
      <sheetName val="Train43"/>
      <sheetName val="Train44"/>
      <sheetName val="Train48"/>
      <sheetName val="Train49"/>
      <sheetName val="Train50"/>
      <sheetName val="Train51"/>
      <sheetName val="Train73"/>
      <sheetName val="Train74"/>
      <sheetName val="Train79"/>
      <sheetName val="Train80"/>
      <sheetName val="Train91"/>
      <sheetName val="Train92"/>
      <sheetName val="Train350"/>
      <sheetName val="Train351"/>
      <sheetName val="Train353"/>
      <sheetName val="Train354"/>
      <sheetName val="Train355"/>
      <sheetName val="Train364"/>
      <sheetName val="Train365"/>
      <sheetName val="Train370"/>
      <sheetName val="Train371"/>
      <sheetName val="Scratch"/>
      <sheetName val="Train19Params"/>
      <sheetName val="Train20Params"/>
      <sheetName val="Train29Params"/>
      <sheetName val="Train30Params"/>
      <sheetName val="Train42Params"/>
      <sheetName val="Train43Params"/>
      <sheetName val="Train44Params"/>
      <sheetName val="Train48Params"/>
      <sheetName val="Train49Params"/>
      <sheetName val="Train50Params"/>
      <sheetName val="Train51Params"/>
      <sheetName val="Train73Params"/>
      <sheetName val="Train74Params"/>
      <sheetName val="Train79Params"/>
      <sheetName val="Train80Params"/>
      <sheetName val="Train91Params"/>
      <sheetName val="Train92Params"/>
      <sheetName val="Train350Params"/>
      <sheetName val="Train351Params"/>
      <sheetName val="Train353Params"/>
      <sheetName val="Train354Params"/>
      <sheetName val="Train355Params"/>
      <sheetName val="Train364Params"/>
      <sheetName val="Train365Params"/>
      <sheetName val="Train370Params"/>
      <sheetName val="Train371Para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 - comparison"/>
      <sheetName val="Sheet3"/>
      <sheetName val="Chart 1"/>
      <sheetName val="Chart 2"/>
      <sheetName val="Disney Promotion by Day"/>
      <sheetName val="Amtrak R&amp;R by Day"/>
      <sheetName val="Disney Promotion Riders (2)"/>
      <sheetName val="Amtrak Revenue by Day"/>
      <sheetName val="Disney Promotion Riders"/>
      <sheetName val="Disney Promotion Riders (3)"/>
      <sheetName val="Disney Promotion Revenue"/>
      <sheetName val="Disney Promotion Revenue (2)"/>
      <sheetName val="Amtrak Ridership"/>
      <sheetName val="Amtrak Ridership (2)"/>
      <sheetName val="Amtrak Revenue"/>
      <sheetName val="Sheet2"/>
      <sheetName val="Fareplan Data"/>
      <sheetName val="Fareplan Data (2)"/>
      <sheetName val="DW vs Fareplan"/>
      <sheetName val="Lookup"/>
      <sheetName val="Factors"/>
      <sheetName val="Chart_-_comparison"/>
      <sheetName val="Chart_1"/>
      <sheetName val="Chart_2"/>
      <sheetName val="Disney_Promotion_by_Day"/>
      <sheetName val="Amtrak_R&amp;R_by_Day"/>
      <sheetName val="Disney_Promotion_Riders_(2)"/>
      <sheetName val="Amtrak_Revenue_by_Day"/>
      <sheetName val="Disney_Promotion_Riders"/>
      <sheetName val="Disney_Promotion_Riders_(3)"/>
      <sheetName val="Disney_Promotion_Revenue"/>
      <sheetName val="Disney_Promotion_Revenue_(2)"/>
      <sheetName val="Amtrak_Ridership"/>
      <sheetName val="Amtrak_Ridership_(2)"/>
      <sheetName val="Amtrak_Revenue"/>
      <sheetName val="Fareplan_Data"/>
      <sheetName val="Fareplan_Data_(2)"/>
      <sheetName val="DW_vs_Fare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egion"/>
      <sheetName val="06"/>
      <sheetName val="05"/>
      <sheetName val="04"/>
      <sheetName val="03"/>
      <sheetName val="02"/>
      <sheetName val="Sheet1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 (2)"/>
      <sheetName val="Data"/>
      <sheetName val="Analysis"/>
      <sheetName val="Low"/>
      <sheetName val="Medium"/>
      <sheetName val="High"/>
      <sheetName val="02"/>
      <sheetName val="03"/>
      <sheetName val="05"/>
      <sheetName val="06"/>
      <sheetName val="FY07_Build"/>
      <sheetName val="Data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FY07 Build"/>
      <sheetName val="Summary"/>
      <sheetName val="Summary-Raw"/>
      <sheetName val="Data"/>
      <sheetName val="Analysis"/>
      <sheetName val="Low"/>
      <sheetName val="Medium"/>
      <sheetName val="High"/>
      <sheetName val="FY07_Bu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CONTENTS"/>
      <sheetName val="TRIAL BALANCE"/>
      <sheetName val="BALANCE SHEET"/>
      <sheetName val="INCOME STMT"/>
      <sheetName val="Oper. Expenses"/>
      <sheetName val="NOTES1"/>
      <sheetName val="Budget Var."/>
      <sheetName val="Budget Var. 2"/>
      <sheetName val="Premiums 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40DF-8924-4C4E-9635-78919F7A8BC0}">
  <dimension ref="A1:R29"/>
  <sheetViews>
    <sheetView workbookViewId="0">
      <selection activeCell="R1" sqref="R1"/>
    </sheetView>
  </sheetViews>
  <sheetFormatPr defaultRowHeight="15" x14ac:dyDescent="0.25"/>
  <cols>
    <col min="1" max="1" width="16.140625" customWidth="1"/>
    <col min="2" max="2" width="10.5703125" customWidth="1"/>
    <col min="3" max="3" width="27.140625" bestFit="1" customWidth="1"/>
    <col min="4" max="4" width="22.5703125" customWidth="1"/>
    <col min="5" max="5" width="15.140625" customWidth="1"/>
    <col min="6" max="6" width="14.42578125" customWidth="1"/>
    <col min="7" max="7" width="16.5703125" customWidth="1"/>
    <col min="8" max="8" width="10.5703125" customWidth="1"/>
    <col min="9" max="9" width="24.7109375" customWidth="1"/>
    <col min="10" max="10" width="22.28515625" customWidth="1"/>
    <col min="11" max="11" width="15.85546875" customWidth="1"/>
    <col min="12" max="12" width="14.140625" customWidth="1"/>
    <col min="13" max="13" width="17.7109375" customWidth="1"/>
    <col min="14" max="14" width="10.5703125" customWidth="1"/>
    <col min="15" max="15" width="24.7109375" customWidth="1"/>
    <col min="16" max="16" width="21.85546875" customWidth="1"/>
    <col min="17" max="18" width="15.85546875" customWidth="1"/>
  </cols>
  <sheetData>
    <row r="1" spans="1:18" ht="30" x14ac:dyDescent="0.25">
      <c r="A1" s="63" t="s">
        <v>0</v>
      </c>
      <c r="B1" s="63" t="s">
        <v>1</v>
      </c>
      <c r="C1" s="63" t="s">
        <v>2</v>
      </c>
      <c r="D1" s="60" t="s">
        <v>3</v>
      </c>
      <c r="E1" s="60" t="s">
        <v>4</v>
      </c>
      <c r="F1" s="105" t="s">
        <v>5</v>
      </c>
      <c r="G1" s="63" t="s">
        <v>6</v>
      </c>
      <c r="H1" s="63" t="s">
        <v>1</v>
      </c>
      <c r="I1" s="63" t="s">
        <v>2</v>
      </c>
      <c r="J1" s="60" t="s">
        <v>3</v>
      </c>
      <c r="K1" s="60" t="s">
        <v>4</v>
      </c>
      <c r="L1" s="105" t="s">
        <v>5</v>
      </c>
      <c r="M1" s="63" t="s">
        <v>7</v>
      </c>
      <c r="N1" s="63" t="s">
        <v>1</v>
      </c>
      <c r="O1" s="63" t="s">
        <v>2</v>
      </c>
      <c r="P1" s="60" t="s">
        <v>3</v>
      </c>
      <c r="Q1" s="60" t="s">
        <v>4</v>
      </c>
      <c r="R1" s="105" t="s">
        <v>5</v>
      </c>
    </row>
    <row r="2" spans="1:18" x14ac:dyDescent="0.25">
      <c r="A2" s="58" t="s">
        <v>8</v>
      </c>
      <c r="B2" s="58">
        <v>9.1</v>
      </c>
      <c r="C2" s="58" t="s">
        <v>9</v>
      </c>
      <c r="D2" s="64">
        <v>50000</v>
      </c>
      <c r="E2" s="64" t="s">
        <v>10</v>
      </c>
      <c r="F2" s="65">
        <v>2026</v>
      </c>
      <c r="G2" s="58" t="s">
        <v>8</v>
      </c>
      <c r="H2" s="58">
        <v>19.89</v>
      </c>
      <c r="I2" s="58" t="s">
        <v>11</v>
      </c>
      <c r="J2" s="64">
        <v>51000</v>
      </c>
      <c r="K2" s="64" t="s">
        <v>12</v>
      </c>
      <c r="L2" s="65">
        <v>2026</v>
      </c>
      <c r="M2" s="58" t="s">
        <v>8</v>
      </c>
      <c r="N2" s="58">
        <v>30.22</v>
      </c>
      <c r="O2" s="58" t="s">
        <v>13</v>
      </c>
      <c r="P2" s="66">
        <v>45000</v>
      </c>
      <c r="Q2" s="67" t="s">
        <v>14</v>
      </c>
      <c r="R2" s="65">
        <v>2027</v>
      </c>
    </row>
    <row r="3" spans="1:18" x14ac:dyDescent="0.25">
      <c r="A3" s="58" t="s">
        <v>8</v>
      </c>
      <c r="B3" s="58">
        <v>10.6</v>
      </c>
      <c r="C3" s="58" t="s">
        <v>15</v>
      </c>
      <c r="D3" s="64">
        <v>50000</v>
      </c>
      <c r="E3" s="64" t="s">
        <v>10</v>
      </c>
      <c r="F3" s="65">
        <v>2026</v>
      </c>
      <c r="G3" s="58" t="s">
        <v>8</v>
      </c>
      <c r="H3" s="58">
        <v>22.3</v>
      </c>
      <c r="I3" s="58" t="s">
        <v>16</v>
      </c>
      <c r="J3" s="64">
        <v>51000</v>
      </c>
      <c r="K3" s="64" t="s">
        <v>12</v>
      </c>
      <c r="L3" s="65">
        <v>2026</v>
      </c>
      <c r="M3" s="58" t="s">
        <v>8</v>
      </c>
      <c r="N3" s="58">
        <v>30.68</v>
      </c>
      <c r="O3" s="58" t="s">
        <v>17</v>
      </c>
      <c r="P3" s="66">
        <v>45000</v>
      </c>
      <c r="Q3" s="67" t="s">
        <v>14</v>
      </c>
      <c r="R3" s="65">
        <v>2027</v>
      </c>
    </row>
    <row r="4" spans="1:18" x14ac:dyDescent="0.25">
      <c r="A4" s="58" t="s">
        <v>8</v>
      </c>
      <c r="B4" s="58">
        <v>10.75</v>
      </c>
      <c r="C4" s="58" t="s">
        <v>18</v>
      </c>
      <c r="D4" s="64">
        <v>50000</v>
      </c>
      <c r="E4" s="64" t="s">
        <v>10</v>
      </c>
      <c r="F4" s="65">
        <v>2026</v>
      </c>
      <c r="G4" s="58" t="s">
        <v>8</v>
      </c>
      <c r="H4" s="58">
        <v>24.7</v>
      </c>
      <c r="I4" s="58" t="s">
        <v>19</v>
      </c>
      <c r="J4" s="64">
        <v>51000</v>
      </c>
      <c r="K4" s="64" t="s">
        <v>12</v>
      </c>
      <c r="L4" s="65">
        <v>2026</v>
      </c>
      <c r="M4" s="58" t="s">
        <v>8</v>
      </c>
      <c r="N4" s="58">
        <v>31.9</v>
      </c>
      <c r="O4" s="58" t="s">
        <v>20</v>
      </c>
      <c r="P4" s="66">
        <v>45000</v>
      </c>
      <c r="Q4" s="67" t="s">
        <v>14</v>
      </c>
      <c r="R4" s="65">
        <v>2027</v>
      </c>
    </row>
    <row r="5" spans="1:18" x14ac:dyDescent="0.25">
      <c r="A5" s="58"/>
      <c r="B5" s="58"/>
      <c r="C5" s="58"/>
      <c r="D5" s="64"/>
      <c r="E5" s="64"/>
      <c r="F5" s="65"/>
      <c r="G5" s="58"/>
      <c r="H5" s="58"/>
      <c r="I5" s="58"/>
      <c r="J5" s="64"/>
      <c r="K5" s="64"/>
      <c r="L5" s="64"/>
      <c r="M5" s="58"/>
      <c r="N5" s="58"/>
      <c r="O5" s="58"/>
      <c r="P5" s="66"/>
      <c r="Q5" s="64"/>
      <c r="R5" s="64"/>
    </row>
    <row r="6" spans="1:18" x14ac:dyDescent="0.25">
      <c r="A6" s="58" t="s">
        <v>21</v>
      </c>
      <c r="B6" s="58">
        <v>9.1</v>
      </c>
      <c r="C6" s="58" t="s">
        <v>9</v>
      </c>
      <c r="D6" s="64">
        <v>150000</v>
      </c>
      <c r="E6" s="64" t="s">
        <v>12</v>
      </c>
      <c r="F6" s="65">
        <v>2026</v>
      </c>
      <c r="G6" s="58" t="s">
        <v>21</v>
      </c>
      <c r="H6" s="58">
        <v>19.89</v>
      </c>
      <c r="I6" s="58" t="s">
        <v>11</v>
      </c>
      <c r="J6" s="64">
        <v>250000</v>
      </c>
      <c r="K6" s="64" t="s">
        <v>10</v>
      </c>
      <c r="L6" s="65">
        <v>2027</v>
      </c>
      <c r="M6" s="58" t="s">
        <v>21</v>
      </c>
      <c r="N6" s="58">
        <v>30.22</v>
      </c>
      <c r="O6" s="58" t="s">
        <v>13</v>
      </c>
      <c r="P6" s="64">
        <v>150000</v>
      </c>
      <c r="Q6" s="64" t="s">
        <v>10</v>
      </c>
      <c r="R6" s="65">
        <v>2028</v>
      </c>
    </row>
    <row r="7" spans="1:18" x14ac:dyDescent="0.25">
      <c r="A7" s="58" t="s">
        <v>21</v>
      </c>
      <c r="B7" s="58">
        <v>10.6</v>
      </c>
      <c r="C7" s="58" t="s">
        <v>15</v>
      </c>
      <c r="D7" s="64">
        <v>200000</v>
      </c>
      <c r="E7" s="64" t="s">
        <v>12</v>
      </c>
      <c r="F7" s="65">
        <v>2026</v>
      </c>
      <c r="G7" s="58" t="s">
        <v>21</v>
      </c>
      <c r="H7" s="58">
        <v>22.3</v>
      </c>
      <c r="I7" s="58" t="s">
        <v>16</v>
      </c>
      <c r="J7" s="64">
        <v>150000</v>
      </c>
      <c r="K7" s="64" t="s">
        <v>10</v>
      </c>
      <c r="L7" s="65">
        <v>2027</v>
      </c>
      <c r="M7" s="58" t="s">
        <v>21</v>
      </c>
      <c r="N7" s="58">
        <v>30.68</v>
      </c>
      <c r="O7" s="58" t="s">
        <v>17</v>
      </c>
      <c r="P7" s="64">
        <v>200000</v>
      </c>
      <c r="Q7" s="64" t="s">
        <v>10</v>
      </c>
      <c r="R7" s="65">
        <v>2028</v>
      </c>
    </row>
    <row r="8" spans="1:18" x14ac:dyDescent="0.25">
      <c r="A8" s="58" t="s">
        <v>21</v>
      </c>
      <c r="B8" s="58">
        <v>10.75</v>
      </c>
      <c r="C8" s="58" t="s">
        <v>18</v>
      </c>
      <c r="D8" s="64">
        <v>200000</v>
      </c>
      <c r="E8" s="64" t="s">
        <v>12</v>
      </c>
      <c r="F8" s="65">
        <v>2026</v>
      </c>
      <c r="G8" s="58" t="s">
        <v>21</v>
      </c>
      <c r="H8" s="58">
        <v>24.7</v>
      </c>
      <c r="I8" s="58" t="s">
        <v>19</v>
      </c>
      <c r="J8" s="64">
        <v>150000</v>
      </c>
      <c r="K8" s="64" t="s">
        <v>10</v>
      </c>
      <c r="L8" s="65">
        <v>2027</v>
      </c>
      <c r="M8" s="58" t="s">
        <v>21</v>
      </c>
      <c r="N8" s="58">
        <v>31.9</v>
      </c>
      <c r="O8" s="58" t="s">
        <v>20</v>
      </c>
      <c r="P8" s="64">
        <v>200000</v>
      </c>
      <c r="Q8" s="64" t="s">
        <v>10</v>
      </c>
      <c r="R8" s="65">
        <v>2028</v>
      </c>
    </row>
    <row r="9" spans="1:18" x14ac:dyDescent="0.25">
      <c r="A9" s="58"/>
      <c r="B9" s="58"/>
      <c r="C9" s="58"/>
      <c r="D9" s="64"/>
      <c r="E9" s="64"/>
      <c r="F9" s="64"/>
      <c r="G9" s="58"/>
      <c r="H9" s="58"/>
      <c r="I9" s="58"/>
      <c r="J9" s="64"/>
      <c r="K9" s="64"/>
      <c r="L9" s="64"/>
      <c r="M9" s="58"/>
      <c r="N9" s="58"/>
      <c r="O9" s="58"/>
      <c r="P9" s="66"/>
      <c r="Q9" s="64"/>
      <c r="R9" s="64"/>
    </row>
    <row r="10" spans="1:18" x14ac:dyDescent="0.25">
      <c r="A10" s="58" t="s">
        <v>22</v>
      </c>
      <c r="B10" s="58">
        <v>9.1</v>
      </c>
      <c r="C10" s="58" t="s">
        <v>9</v>
      </c>
      <c r="D10" s="64">
        <v>375500</v>
      </c>
      <c r="E10" s="64" t="s">
        <v>14</v>
      </c>
      <c r="F10" s="65">
        <v>2026</v>
      </c>
      <c r="G10" s="58" t="s">
        <v>22</v>
      </c>
      <c r="H10" s="58">
        <v>19.89</v>
      </c>
      <c r="I10" s="58" t="s">
        <v>11</v>
      </c>
      <c r="J10" s="64">
        <v>400000</v>
      </c>
      <c r="K10" s="64" t="s">
        <v>10</v>
      </c>
      <c r="L10" s="65">
        <v>2027</v>
      </c>
      <c r="M10" s="58" t="s">
        <v>22</v>
      </c>
      <c r="N10" s="58">
        <v>30.22</v>
      </c>
      <c r="O10" s="58" t="s">
        <v>13</v>
      </c>
      <c r="P10" s="64">
        <v>400000</v>
      </c>
      <c r="Q10" s="64" t="s">
        <v>10</v>
      </c>
      <c r="R10" s="65">
        <v>2028</v>
      </c>
    </row>
    <row r="11" spans="1:18" x14ac:dyDescent="0.25">
      <c r="A11" s="58" t="s">
        <v>22</v>
      </c>
      <c r="B11" s="58">
        <v>10.6</v>
      </c>
      <c r="C11" s="58" t="s">
        <v>15</v>
      </c>
      <c r="D11" s="64">
        <v>375500</v>
      </c>
      <c r="E11" s="64" t="s">
        <v>14</v>
      </c>
      <c r="F11" s="65">
        <v>2026</v>
      </c>
      <c r="G11" s="58" t="s">
        <v>22</v>
      </c>
      <c r="H11" s="58">
        <v>22.3</v>
      </c>
      <c r="I11" s="58" t="s">
        <v>16</v>
      </c>
      <c r="J11" s="64">
        <v>400000</v>
      </c>
      <c r="K11" s="64" t="s">
        <v>10</v>
      </c>
      <c r="L11" s="65">
        <v>2027</v>
      </c>
      <c r="M11" s="58" t="s">
        <v>22</v>
      </c>
      <c r="N11" s="58">
        <v>30.68</v>
      </c>
      <c r="O11" s="58" t="s">
        <v>17</v>
      </c>
      <c r="P11" s="64">
        <v>400000</v>
      </c>
      <c r="Q11" s="64" t="s">
        <v>10</v>
      </c>
      <c r="R11" s="65">
        <v>2028</v>
      </c>
    </row>
    <row r="12" spans="1:18" x14ac:dyDescent="0.25">
      <c r="A12" s="58" t="s">
        <v>22</v>
      </c>
      <c r="B12" s="58">
        <v>10.75</v>
      </c>
      <c r="C12" s="58" t="s">
        <v>18</v>
      </c>
      <c r="D12" s="64">
        <v>375500</v>
      </c>
      <c r="E12" s="64" t="s">
        <v>14</v>
      </c>
      <c r="F12" s="65">
        <v>2026</v>
      </c>
      <c r="G12" s="58" t="s">
        <v>22</v>
      </c>
      <c r="H12" s="58">
        <v>24.7</v>
      </c>
      <c r="I12" s="58" t="s">
        <v>19</v>
      </c>
      <c r="J12" s="64">
        <v>400000</v>
      </c>
      <c r="K12" s="64" t="s">
        <v>10</v>
      </c>
      <c r="L12" s="65">
        <v>2027</v>
      </c>
      <c r="M12" s="58" t="s">
        <v>22</v>
      </c>
      <c r="N12" s="58">
        <v>31.9</v>
      </c>
      <c r="O12" s="58" t="s">
        <v>20</v>
      </c>
      <c r="P12" s="64">
        <v>400000</v>
      </c>
      <c r="Q12" s="64" t="s">
        <v>10</v>
      </c>
      <c r="R12" s="65">
        <v>2028</v>
      </c>
    </row>
    <row r="13" spans="1:18" x14ac:dyDescent="0.25">
      <c r="A13" s="58"/>
      <c r="B13" s="58"/>
      <c r="C13" s="58"/>
      <c r="D13" s="67"/>
      <c r="E13" s="67"/>
      <c r="F13" s="67"/>
      <c r="G13" s="58"/>
      <c r="H13" s="58"/>
      <c r="I13" s="58"/>
      <c r="J13" s="67"/>
      <c r="K13" s="67"/>
      <c r="L13" s="67"/>
      <c r="M13" s="58"/>
      <c r="N13" s="58"/>
      <c r="O13" s="58"/>
      <c r="P13" s="68"/>
      <c r="Q13" s="67"/>
      <c r="R13" s="67"/>
    </row>
    <row r="14" spans="1:18" x14ac:dyDescent="0.25">
      <c r="A14" s="58" t="s">
        <v>8</v>
      </c>
      <c r="B14" s="58">
        <v>12.9</v>
      </c>
      <c r="C14" s="58" t="s">
        <v>23</v>
      </c>
      <c r="D14" s="64">
        <v>50000</v>
      </c>
      <c r="E14" s="64" t="s">
        <v>12</v>
      </c>
      <c r="F14" s="65">
        <v>2026</v>
      </c>
      <c r="G14" s="58" t="s">
        <v>8</v>
      </c>
      <c r="H14" s="58">
        <v>26.8</v>
      </c>
      <c r="I14" s="58" t="s">
        <v>24</v>
      </c>
      <c r="J14" s="64">
        <v>51000</v>
      </c>
      <c r="K14" s="64" t="s">
        <v>14</v>
      </c>
      <c r="L14" s="65">
        <v>2026</v>
      </c>
      <c r="M14" s="58" t="s">
        <v>8</v>
      </c>
      <c r="N14" s="58">
        <v>32.44</v>
      </c>
      <c r="O14" s="58" t="s">
        <v>25</v>
      </c>
      <c r="P14" s="66">
        <v>45000</v>
      </c>
      <c r="Q14" s="64" t="s">
        <v>26</v>
      </c>
      <c r="R14" s="65">
        <v>2027</v>
      </c>
    </row>
    <row r="15" spans="1:18" x14ac:dyDescent="0.25">
      <c r="A15" s="58" t="s">
        <v>8</v>
      </c>
      <c r="B15" s="58">
        <v>15.2</v>
      </c>
      <c r="C15" s="58" t="s">
        <v>27</v>
      </c>
      <c r="D15" s="64">
        <v>50000</v>
      </c>
      <c r="E15" s="64" t="s">
        <v>12</v>
      </c>
      <c r="F15" s="65">
        <v>2026</v>
      </c>
      <c r="G15" s="58" t="s">
        <v>8</v>
      </c>
      <c r="H15" s="58">
        <v>26.81</v>
      </c>
      <c r="I15" s="58" t="s">
        <v>28</v>
      </c>
      <c r="J15" s="64">
        <v>51000</v>
      </c>
      <c r="K15" s="64" t="s">
        <v>14</v>
      </c>
      <c r="L15" s="65">
        <v>2026</v>
      </c>
      <c r="M15" s="58" t="s">
        <v>8</v>
      </c>
      <c r="N15" s="58">
        <v>32.6</v>
      </c>
      <c r="O15" s="58" t="s">
        <v>29</v>
      </c>
      <c r="P15" s="66">
        <v>45000</v>
      </c>
      <c r="Q15" s="64" t="s">
        <v>26</v>
      </c>
      <c r="R15" s="65">
        <v>2027</v>
      </c>
    </row>
    <row r="16" spans="1:18" x14ac:dyDescent="0.25">
      <c r="A16" s="58" t="s">
        <v>8</v>
      </c>
      <c r="B16" s="58">
        <v>17.8</v>
      </c>
      <c r="C16" s="58" t="s">
        <v>30</v>
      </c>
      <c r="D16" s="64">
        <v>50000</v>
      </c>
      <c r="E16" s="64" t="s">
        <v>12</v>
      </c>
      <c r="F16" s="65">
        <v>2026</v>
      </c>
      <c r="G16" s="58" t="s">
        <v>8</v>
      </c>
      <c r="H16" s="58">
        <v>26.95</v>
      </c>
      <c r="I16" s="58" t="s">
        <v>31</v>
      </c>
      <c r="J16" s="64">
        <v>51000</v>
      </c>
      <c r="K16" s="64" t="s">
        <v>14</v>
      </c>
      <c r="L16" s="65">
        <v>2026</v>
      </c>
      <c r="M16" s="58" t="s">
        <v>8</v>
      </c>
      <c r="N16" s="58">
        <v>32.65</v>
      </c>
      <c r="O16" s="58" t="s">
        <v>32</v>
      </c>
      <c r="P16" s="66">
        <v>45000</v>
      </c>
      <c r="Q16" s="64" t="s">
        <v>26</v>
      </c>
      <c r="R16" s="65">
        <v>2027</v>
      </c>
    </row>
    <row r="17" spans="1:18" x14ac:dyDescent="0.25">
      <c r="A17" s="58"/>
      <c r="B17" s="58"/>
      <c r="C17" s="58"/>
      <c r="D17" s="64"/>
      <c r="E17" s="64"/>
      <c r="F17" s="64"/>
      <c r="G17" s="58"/>
      <c r="H17" s="58"/>
      <c r="I17" s="58"/>
      <c r="J17" s="64"/>
      <c r="K17" s="64"/>
      <c r="L17" s="64"/>
      <c r="M17" s="58"/>
      <c r="N17" s="58"/>
      <c r="O17" s="58"/>
      <c r="P17" s="66"/>
      <c r="Q17" s="64"/>
      <c r="R17" s="64"/>
    </row>
    <row r="18" spans="1:18" x14ac:dyDescent="0.25">
      <c r="A18" s="58" t="s">
        <v>21</v>
      </c>
      <c r="B18" s="58">
        <v>12.9</v>
      </c>
      <c r="C18" s="58" t="s">
        <v>23</v>
      </c>
      <c r="D18" s="64">
        <v>150000</v>
      </c>
      <c r="E18" s="64" t="s">
        <v>14</v>
      </c>
      <c r="F18" s="65">
        <v>2026</v>
      </c>
      <c r="G18" s="58" t="s">
        <v>21</v>
      </c>
      <c r="H18" s="58">
        <v>26.8</v>
      </c>
      <c r="I18" s="58" t="s">
        <v>24</v>
      </c>
      <c r="J18" s="64">
        <v>150000</v>
      </c>
      <c r="K18" s="64" t="s">
        <v>12</v>
      </c>
      <c r="L18" s="65">
        <v>2027</v>
      </c>
      <c r="M18" s="58" t="s">
        <v>21</v>
      </c>
      <c r="N18" s="58">
        <v>32.44</v>
      </c>
      <c r="O18" s="58" t="s">
        <v>25</v>
      </c>
      <c r="P18" s="64">
        <v>150000</v>
      </c>
      <c r="Q18" s="64" t="s">
        <v>12</v>
      </c>
      <c r="R18" s="65">
        <v>2028</v>
      </c>
    </row>
    <row r="19" spans="1:18" x14ac:dyDescent="0.25">
      <c r="A19" s="58" t="s">
        <v>21</v>
      </c>
      <c r="B19" s="58">
        <v>15.2</v>
      </c>
      <c r="C19" s="58" t="s">
        <v>27</v>
      </c>
      <c r="D19" s="64">
        <v>200000</v>
      </c>
      <c r="E19" s="64" t="s">
        <v>14</v>
      </c>
      <c r="F19" s="65">
        <v>2026</v>
      </c>
      <c r="G19" s="58" t="s">
        <v>21</v>
      </c>
      <c r="H19" s="58">
        <v>26.81</v>
      </c>
      <c r="I19" s="58" t="s">
        <v>28</v>
      </c>
      <c r="J19" s="64">
        <v>200000</v>
      </c>
      <c r="K19" s="64" t="s">
        <v>12</v>
      </c>
      <c r="L19" s="65">
        <v>2027</v>
      </c>
      <c r="M19" s="58" t="s">
        <v>21</v>
      </c>
      <c r="N19" s="58">
        <v>32.6</v>
      </c>
      <c r="O19" s="58" t="s">
        <v>29</v>
      </c>
      <c r="P19" s="64">
        <v>200000</v>
      </c>
      <c r="Q19" s="64" t="s">
        <v>12</v>
      </c>
      <c r="R19" s="65">
        <v>2028</v>
      </c>
    </row>
    <row r="20" spans="1:18" x14ac:dyDescent="0.25">
      <c r="A20" s="58" t="s">
        <v>21</v>
      </c>
      <c r="B20" s="58">
        <v>17.8</v>
      </c>
      <c r="C20" s="58" t="s">
        <v>30</v>
      </c>
      <c r="D20" s="64">
        <v>200000</v>
      </c>
      <c r="E20" s="64" t="s">
        <v>14</v>
      </c>
      <c r="F20" s="65">
        <v>2026</v>
      </c>
      <c r="G20" s="58" t="s">
        <v>21</v>
      </c>
      <c r="H20" s="58">
        <v>26.95</v>
      </c>
      <c r="I20" s="58" t="s">
        <v>31</v>
      </c>
      <c r="J20" s="64">
        <v>200000</v>
      </c>
      <c r="K20" s="64" t="s">
        <v>12</v>
      </c>
      <c r="L20" s="65">
        <v>2027</v>
      </c>
      <c r="M20" s="58" t="s">
        <v>21</v>
      </c>
      <c r="N20" s="58">
        <v>32.65</v>
      </c>
      <c r="O20" s="58" t="s">
        <v>32</v>
      </c>
      <c r="P20" s="64">
        <v>200000</v>
      </c>
      <c r="Q20" s="64" t="s">
        <v>12</v>
      </c>
      <c r="R20" s="65">
        <v>2028</v>
      </c>
    </row>
    <row r="21" spans="1:18" x14ac:dyDescent="0.25">
      <c r="A21" s="58"/>
      <c r="B21" s="58"/>
      <c r="C21" s="58"/>
      <c r="D21" s="64"/>
      <c r="E21" s="64"/>
      <c r="F21" s="64"/>
      <c r="G21" s="58"/>
      <c r="H21" s="58"/>
      <c r="I21" s="58"/>
      <c r="J21" s="64"/>
      <c r="K21" s="64"/>
      <c r="L21" s="64"/>
      <c r="M21" s="58"/>
      <c r="N21" s="58"/>
      <c r="O21" s="58"/>
      <c r="P21" s="66"/>
      <c r="Q21" s="64"/>
      <c r="R21" s="64"/>
    </row>
    <row r="22" spans="1:18" x14ac:dyDescent="0.25">
      <c r="A22" s="58" t="s">
        <v>22</v>
      </c>
      <c r="B22" s="58">
        <v>12.9</v>
      </c>
      <c r="C22" s="58" t="s">
        <v>23</v>
      </c>
      <c r="D22" s="64">
        <v>375500</v>
      </c>
      <c r="E22" s="64" t="s">
        <v>26</v>
      </c>
      <c r="F22" s="65">
        <v>2026</v>
      </c>
      <c r="G22" s="58" t="s">
        <v>22</v>
      </c>
      <c r="H22" s="58">
        <v>26.8</v>
      </c>
      <c r="I22" s="58" t="s">
        <v>24</v>
      </c>
      <c r="J22" s="64">
        <v>400000</v>
      </c>
      <c r="K22" s="67" t="s">
        <v>12</v>
      </c>
      <c r="L22" s="65">
        <v>2027</v>
      </c>
      <c r="M22" s="58" t="s">
        <v>22</v>
      </c>
      <c r="N22" s="58">
        <v>32.44</v>
      </c>
      <c r="O22" s="58" t="s">
        <v>25</v>
      </c>
      <c r="P22" s="64">
        <v>400000</v>
      </c>
      <c r="Q22" s="67" t="s">
        <v>12</v>
      </c>
      <c r="R22" s="65">
        <v>2028</v>
      </c>
    </row>
    <row r="23" spans="1:18" x14ac:dyDescent="0.25">
      <c r="A23" s="58" t="s">
        <v>22</v>
      </c>
      <c r="B23" s="58">
        <v>15.2</v>
      </c>
      <c r="C23" s="58" t="s">
        <v>27</v>
      </c>
      <c r="D23" s="64">
        <v>375500</v>
      </c>
      <c r="E23" s="64" t="s">
        <v>26</v>
      </c>
      <c r="F23" s="65">
        <v>2026</v>
      </c>
      <c r="G23" s="58" t="s">
        <v>22</v>
      </c>
      <c r="H23" s="58">
        <v>26.81</v>
      </c>
      <c r="I23" s="58" t="s">
        <v>28</v>
      </c>
      <c r="J23" s="64">
        <v>400000</v>
      </c>
      <c r="K23" s="67" t="s">
        <v>14</v>
      </c>
      <c r="L23" s="65">
        <v>2027</v>
      </c>
      <c r="M23" s="58" t="s">
        <v>22</v>
      </c>
      <c r="N23" s="58">
        <v>32.6</v>
      </c>
      <c r="O23" s="58" t="s">
        <v>29</v>
      </c>
      <c r="P23" s="64">
        <v>400000</v>
      </c>
      <c r="Q23" s="67" t="s">
        <v>14</v>
      </c>
      <c r="R23" s="65">
        <v>2028</v>
      </c>
    </row>
    <row r="24" spans="1:18" x14ac:dyDescent="0.25">
      <c r="A24" s="58" t="s">
        <v>22</v>
      </c>
      <c r="B24" s="58">
        <v>17.8</v>
      </c>
      <c r="C24" s="58" t="s">
        <v>30</v>
      </c>
      <c r="D24" s="64">
        <v>375500</v>
      </c>
      <c r="E24" s="64" t="s">
        <v>26</v>
      </c>
      <c r="F24" s="65">
        <v>2026</v>
      </c>
      <c r="G24" s="58" t="s">
        <v>22</v>
      </c>
      <c r="H24" s="58">
        <v>26.95</v>
      </c>
      <c r="I24" s="58" t="s">
        <v>31</v>
      </c>
      <c r="J24" s="64">
        <v>400000</v>
      </c>
      <c r="K24" s="67" t="s">
        <v>14</v>
      </c>
      <c r="L24" s="65">
        <v>2027</v>
      </c>
      <c r="M24" s="58" t="s">
        <v>22</v>
      </c>
      <c r="N24" s="58">
        <v>32.65</v>
      </c>
      <c r="O24" s="58" t="s">
        <v>32</v>
      </c>
      <c r="P24" s="64">
        <v>400000</v>
      </c>
      <c r="Q24" s="67" t="s">
        <v>14</v>
      </c>
      <c r="R24" s="65">
        <v>2028</v>
      </c>
    </row>
    <row r="25" spans="1:18" x14ac:dyDescent="0.25">
      <c r="A25" s="58"/>
      <c r="B25" s="58"/>
      <c r="C25" s="58"/>
      <c r="D25" s="59"/>
      <c r="E25" s="59"/>
      <c r="F25" s="59"/>
      <c r="G25" s="58"/>
      <c r="H25" s="58"/>
      <c r="I25" s="58"/>
      <c r="J25" s="59"/>
      <c r="K25" s="59"/>
      <c r="L25" s="59"/>
      <c r="M25" s="58"/>
      <c r="N25" s="58"/>
      <c r="O25" s="58"/>
      <c r="P25" s="40"/>
      <c r="Q25" s="59"/>
      <c r="R25" s="59"/>
    </row>
    <row r="26" spans="1:18" x14ac:dyDescent="0.25">
      <c r="A26" s="58"/>
      <c r="B26" s="58"/>
      <c r="C26" s="58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</row>
    <row r="27" spans="1:18" ht="15.75" thickBot="1" x14ac:dyDescent="0.3">
      <c r="N27" s="61"/>
    </row>
    <row r="28" spans="1:18" ht="15.75" thickBot="1" x14ac:dyDescent="0.3">
      <c r="C28" s="41"/>
      <c r="D28" s="41"/>
      <c r="E28" s="41"/>
      <c r="M28" s="62"/>
    </row>
    <row r="29" spans="1:18" x14ac:dyDescent="0.25">
      <c r="D29" s="41"/>
      <c r="E29" s="4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0B75-8DC9-48F4-93A0-7AA9F6ED0208}">
  <dimension ref="A1:O29"/>
  <sheetViews>
    <sheetView tabSelected="1" workbookViewId="0">
      <selection activeCell="A30" sqref="A30"/>
    </sheetView>
  </sheetViews>
  <sheetFormatPr defaultRowHeight="15" x14ac:dyDescent="0.25"/>
  <cols>
    <col min="1" max="1" width="11.85546875" customWidth="1"/>
    <col min="3" max="3" width="22.7109375" customWidth="1"/>
    <col min="5" max="6" width="10.7109375" customWidth="1"/>
    <col min="7" max="7" width="10.5703125" customWidth="1"/>
    <col min="8" max="8" width="30.5703125" bestFit="1" customWidth="1"/>
    <col min="9" max="9" width="14.28515625" bestFit="1" customWidth="1"/>
    <col min="10" max="10" width="15.85546875" bestFit="1" customWidth="1"/>
    <col min="11" max="11" width="14.85546875" bestFit="1" customWidth="1"/>
    <col min="12" max="14" width="13.85546875" bestFit="1" customWidth="1"/>
    <col min="15" max="15" width="15.85546875" customWidth="1"/>
  </cols>
  <sheetData>
    <row r="1" spans="1:15" ht="15.75" thickBot="1" x14ac:dyDescent="0.3">
      <c r="I1" s="56" t="s">
        <v>33</v>
      </c>
    </row>
    <row r="2" spans="1:15" ht="15.75" thickBot="1" x14ac:dyDescent="0.3">
      <c r="A2" s="112" t="s">
        <v>34</v>
      </c>
      <c r="B2" s="113"/>
      <c r="C2" s="113"/>
      <c r="D2" s="113"/>
      <c r="E2" s="113"/>
      <c r="F2" s="113"/>
      <c r="G2" s="114"/>
      <c r="I2" s="40" t="s">
        <v>35</v>
      </c>
    </row>
    <row r="3" spans="1:15" ht="15.75" thickBot="1" x14ac:dyDescent="0.3">
      <c r="A3" s="35"/>
      <c r="B3" s="36"/>
      <c r="C3" s="36"/>
      <c r="D3" s="36"/>
      <c r="E3" s="36"/>
      <c r="F3" s="36"/>
      <c r="G3" s="37"/>
      <c r="H3" s="38" t="s">
        <v>36</v>
      </c>
      <c r="I3" s="39" t="s">
        <v>37</v>
      </c>
    </row>
    <row r="4" spans="1:15" ht="15.75" thickBot="1" x14ac:dyDescent="0.3">
      <c r="A4" s="112" t="s">
        <v>38</v>
      </c>
      <c r="B4" s="113"/>
      <c r="C4" s="115"/>
      <c r="D4" s="36"/>
      <c r="E4" s="116" t="s">
        <v>39</v>
      </c>
      <c r="F4" s="117"/>
      <c r="G4" s="118"/>
      <c r="I4" s="38" t="s">
        <v>40</v>
      </c>
      <c r="J4" s="38" t="s">
        <v>41</v>
      </c>
      <c r="K4" s="38" t="s">
        <v>42</v>
      </c>
      <c r="L4" s="38" t="s">
        <v>43</v>
      </c>
      <c r="M4" s="38" t="s">
        <v>44</v>
      </c>
      <c r="N4" s="38" t="s">
        <v>45</v>
      </c>
      <c r="O4" s="38" t="s">
        <v>46</v>
      </c>
    </row>
    <row r="5" spans="1:15" x14ac:dyDescent="0.25">
      <c r="A5" s="70" t="s">
        <v>47</v>
      </c>
      <c r="B5" s="71"/>
      <c r="C5" s="72" t="s">
        <v>48</v>
      </c>
      <c r="D5" s="36"/>
      <c r="E5" s="109" t="s">
        <v>49</v>
      </c>
      <c r="F5" s="110"/>
      <c r="G5" s="111"/>
      <c r="H5" t="s">
        <v>50</v>
      </c>
      <c r="I5" s="40">
        <f>2*I27</f>
        <v>600000</v>
      </c>
      <c r="J5" s="40"/>
      <c r="K5" s="40">
        <f>(I27*6)/3</f>
        <v>600000</v>
      </c>
      <c r="L5" s="40">
        <f>K5</f>
        <v>600000</v>
      </c>
      <c r="M5" s="40">
        <f>L5</f>
        <v>600000</v>
      </c>
      <c r="N5" s="40"/>
      <c r="O5" s="41">
        <f>SUM(I5:N5)</f>
        <v>2400000</v>
      </c>
    </row>
    <row r="6" spans="1:15" x14ac:dyDescent="0.25">
      <c r="A6" s="42" t="s">
        <v>51</v>
      </c>
      <c r="B6" s="73"/>
      <c r="C6" s="69" t="s">
        <v>48</v>
      </c>
      <c r="D6" s="36"/>
      <c r="E6" s="42"/>
      <c r="F6" s="43"/>
      <c r="G6" s="69"/>
      <c r="H6" t="s">
        <v>52</v>
      </c>
      <c r="I6" s="40"/>
      <c r="J6" s="40"/>
      <c r="K6" s="40"/>
      <c r="L6" s="40">
        <f>I19/2</f>
        <v>3500000</v>
      </c>
      <c r="M6" s="40">
        <f>I19/2</f>
        <v>3500000</v>
      </c>
      <c r="N6" s="40"/>
      <c r="O6" s="41">
        <f t="shared" ref="O6:O9" si="0">SUM(I6:N6)</f>
        <v>7000000</v>
      </c>
    </row>
    <row r="7" spans="1:15" x14ac:dyDescent="0.25">
      <c r="A7" s="42" t="s">
        <v>53</v>
      </c>
      <c r="C7" s="74" t="s">
        <v>54</v>
      </c>
      <c r="D7" s="36"/>
      <c r="E7" s="42"/>
      <c r="F7" s="43"/>
      <c r="G7" s="69"/>
      <c r="H7" t="s">
        <v>55</v>
      </c>
      <c r="I7" s="40">
        <v>1357000</v>
      </c>
      <c r="K7" s="40"/>
      <c r="L7" s="40"/>
      <c r="M7" s="40"/>
      <c r="N7" s="40"/>
      <c r="O7" s="41">
        <f>SUM(I7:N7)</f>
        <v>1357000</v>
      </c>
    </row>
    <row r="8" spans="1:15" x14ac:dyDescent="0.25">
      <c r="A8" s="42" t="s">
        <v>56</v>
      </c>
      <c r="B8" s="73"/>
      <c r="C8" s="69" t="s">
        <v>54</v>
      </c>
      <c r="D8" s="36"/>
      <c r="E8" s="106" t="s">
        <v>57</v>
      </c>
      <c r="F8" s="107"/>
      <c r="G8" s="108"/>
      <c r="H8" t="s">
        <v>58</v>
      </c>
      <c r="I8" s="40">
        <v>80000</v>
      </c>
      <c r="J8" s="40">
        <f>I23*7</f>
        <v>1050000</v>
      </c>
      <c r="K8" s="40">
        <f>(I23*4)</f>
        <v>600000</v>
      </c>
      <c r="L8" s="40"/>
      <c r="M8" s="40"/>
      <c r="N8" s="40"/>
      <c r="O8" s="41">
        <f t="shared" si="0"/>
        <v>1730000</v>
      </c>
    </row>
    <row r="9" spans="1:15" x14ac:dyDescent="0.25">
      <c r="A9" s="42" t="s">
        <v>59</v>
      </c>
      <c r="B9" s="43"/>
      <c r="C9" s="69" t="s">
        <v>60</v>
      </c>
      <c r="D9" s="36"/>
      <c r="E9" s="109" t="s">
        <v>114</v>
      </c>
      <c r="F9" s="110"/>
      <c r="G9" s="111"/>
      <c r="I9" s="40"/>
      <c r="J9" s="40"/>
      <c r="K9" s="40"/>
      <c r="L9" s="40"/>
      <c r="M9" s="40"/>
      <c r="N9" s="40"/>
      <c r="O9" s="41">
        <f t="shared" si="0"/>
        <v>0</v>
      </c>
    </row>
    <row r="10" spans="1:15" x14ac:dyDescent="0.25">
      <c r="A10" s="42" t="s">
        <v>61</v>
      </c>
      <c r="B10" s="43"/>
      <c r="C10" s="69" t="s">
        <v>60</v>
      </c>
      <c r="D10" s="36"/>
      <c r="E10" s="109" t="s">
        <v>115</v>
      </c>
      <c r="F10" s="110"/>
      <c r="G10" s="69"/>
      <c r="I10" s="40"/>
      <c r="J10" s="40"/>
      <c r="K10" s="40"/>
      <c r="L10" s="40"/>
      <c r="M10" s="40"/>
      <c r="N10" s="40"/>
    </row>
    <row r="11" spans="1:15" x14ac:dyDescent="0.25">
      <c r="A11" s="42" t="s">
        <v>62</v>
      </c>
      <c r="B11" s="43"/>
      <c r="C11" s="69" t="s">
        <v>63</v>
      </c>
      <c r="D11" s="36"/>
      <c r="E11" s="109" t="s">
        <v>116</v>
      </c>
      <c r="F11" s="110"/>
      <c r="G11" s="111"/>
      <c r="I11" s="40"/>
      <c r="J11" s="40"/>
      <c r="K11" s="40"/>
      <c r="L11" s="40"/>
      <c r="M11" s="40"/>
      <c r="N11" s="40"/>
      <c r="O11" s="41">
        <f>SUM(O5:O9)</f>
        <v>12487000</v>
      </c>
    </row>
    <row r="12" spans="1:15" x14ac:dyDescent="0.25">
      <c r="A12" s="42" t="s">
        <v>64</v>
      </c>
      <c r="B12" s="43"/>
      <c r="C12" s="69" t="s">
        <v>63</v>
      </c>
      <c r="D12" s="36"/>
      <c r="E12" s="109" t="s">
        <v>117</v>
      </c>
      <c r="F12" s="110"/>
      <c r="G12" s="111"/>
      <c r="I12" s="40"/>
      <c r="J12" s="40"/>
      <c r="K12" s="40"/>
      <c r="L12" s="40"/>
      <c r="M12" s="40"/>
      <c r="N12" s="40"/>
    </row>
    <row r="13" spans="1:15" ht="15.75" thickBot="1" x14ac:dyDescent="0.3">
      <c r="A13" s="75"/>
      <c r="B13" s="49"/>
      <c r="C13" s="44"/>
      <c r="D13" s="36"/>
      <c r="E13" s="119" t="s">
        <v>118</v>
      </c>
      <c r="F13" s="120"/>
      <c r="G13" s="44"/>
      <c r="I13" s="40"/>
      <c r="J13" s="40"/>
      <c r="K13" s="40"/>
      <c r="L13" s="40"/>
      <c r="M13" s="40"/>
      <c r="N13" s="40"/>
    </row>
    <row r="14" spans="1:15" ht="15.75" thickBot="1" x14ac:dyDescent="0.3">
      <c r="A14" s="121"/>
      <c r="B14" s="122"/>
      <c r="C14" s="123"/>
      <c r="D14" s="36"/>
      <c r="E14" s="112"/>
      <c r="F14" s="113"/>
      <c r="G14" s="114"/>
      <c r="J14" s="40"/>
      <c r="K14" s="40"/>
      <c r="L14" s="40"/>
      <c r="M14" s="40"/>
      <c r="N14" s="40"/>
    </row>
    <row r="15" spans="1:15" x14ac:dyDescent="0.25">
      <c r="A15" s="124"/>
      <c r="B15" s="125"/>
      <c r="C15" s="126"/>
      <c r="D15" s="36"/>
      <c r="E15" s="127"/>
      <c r="F15" s="128"/>
      <c r="G15" s="129"/>
      <c r="H15" t="s">
        <v>65</v>
      </c>
      <c r="I15">
        <f>32.5-15</f>
        <v>17.5</v>
      </c>
      <c r="J15" s="40"/>
      <c r="K15" s="40"/>
      <c r="L15" s="40"/>
      <c r="M15" s="40"/>
      <c r="N15" s="40"/>
    </row>
    <row r="16" spans="1:15" x14ac:dyDescent="0.25">
      <c r="A16" s="45"/>
      <c r="B16" s="46"/>
      <c r="C16" s="47"/>
      <c r="D16" s="36"/>
      <c r="E16" s="42"/>
      <c r="F16" s="43"/>
      <c r="G16" s="69"/>
      <c r="H16" t="s">
        <v>66</v>
      </c>
      <c r="I16">
        <f>32.5-15</f>
        <v>17.5</v>
      </c>
      <c r="J16" s="40"/>
      <c r="K16" s="40"/>
      <c r="L16" s="40"/>
      <c r="M16" s="40"/>
      <c r="N16" s="40"/>
    </row>
    <row r="17" spans="1:11" x14ac:dyDescent="0.25">
      <c r="A17" s="42"/>
      <c r="B17" s="43"/>
      <c r="C17" s="69"/>
      <c r="D17" s="36"/>
      <c r="E17" s="42"/>
      <c r="F17" s="43"/>
      <c r="G17" s="69"/>
      <c r="H17" t="s">
        <v>67</v>
      </c>
      <c r="I17">
        <f>SUM(I15:I16)</f>
        <v>35</v>
      </c>
    </row>
    <row r="18" spans="1:11" x14ac:dyDescent="0.25">
      <c r="A18" s="42"/>
      <c r="B18" s="43"/>
      <c r="C18" s="69"/>
      <c r="D18" s="36"/>
      <c r="E18" s="42"/>
      <c r="F18" s="43"/>
      <c r="G18" s="69"/>
      <c r="H18" t="s">
        <v>68</v>
      </c>
      <c r="I18" s="50">
        <v>200000</v>
      </c>
    </row>
    <row r="19" spans="1:11" x14ac:dyDescent="0.25">
      <c r="A19" s="42"/>
      <c r="B19" s="43"/>
      <c r="C19" s="69"/>
      <c r="D19" s="36"/>
      <c r="E19" s="42"/>
      <c r="F19" s="43"/>
      <c r="G19" s="69"/>
      <c r="H19" t="s">
        <v>69</v>
      </c>
      <c r="I19" s="51">
        <f>I18*I17</f>
        <v>7000000</v>
      </c>
    </row>
    <row r="20" spans="1:11" x14ac:dyDescent="0.25">
      <c r="A20" s="42"/>
      <c r="B20" s="43"/>
      <c r="C20" s="69"/>
      <c r="D20" s="36"/>
      <c r="E20" s="42"/>
      <c r="F20" s="43"/>
      <c r="G20" s="69"/>
    </row>
    <row r="21" spans="1:11" ht="15.75" thickBot="1" x14ac:dyDescent="0.3">
      <c r="A21" s="42"/>
      <c r="B21" s="73"/>
      <c r="C21" s="69"/>
      <c r="D21" s="36"/>
      <c r="E21" s="48"/>
      <c r="F21" s="49"/>
      <c r="G21" s="44"/>
    </row>
    <row r="22" spans="1:11" x14ac:dyDescent="0.25">
      <c r="A22" s="116" t="s">
        <v>70</v>
      </c>
      <c r="B22" s="117"/>
      <c r="C22" s="118"/>
      <c r="D22" s="36"/>
      <c r="E22" s="116"/>
      <c r="F22" s="117"/>
      <c r="G22" s="118"/>
    </row>
    <row r="23" spans="1:11" x14ac:dyDescent="0.25">
      <c r="A23" s="130" t="s">
        <v>71</v>
      </c>
      <c r="B23" s="131"/>
      <c r="C23" s="132"/>
      <c r="D23" s="36"/>
      <c r="E23" s="133"/>
      <c r="F23" s="134"/>
      <c r="G23" s="135"/>
      <c r="H23" t="s">
        <v>72</v>
      </c>
      <c r="I23" s="40">
        <v>150000</v>
      </c>
    </row>
    <row r="24" spans="1:11" x14ac:dyDescent="0.25">
      <c r="A24" s="130" t="s">
        <v>73</v>
      </c>
      <c r="B24" s="131"/>
      <c r="C24" s="132"/>
      <c r="D24" s="36"/>
      <c r="E24" s="133"/>
      <c r="F24" s="134"/>
      <c r="G24" s="135"/>
      <c r="H24" t="s">
        <v>74</v>
      </c>
      <c r="I24" s="52">
        <f>I23*4</f>
        <v>600000</v>
      </c>
      <c r="K24" s="41"/>
    </row>
    <row r="25" spans="1:11" x14ac:dyDescent="0.25">
      <c r="A25" s="130" t="s">
        <v>75</v>
      </c>
      <c r="B25" s="131"/>
      <c r="C25" s="76"/>
      <c r="D25" s="36"/>
      <c r="E25" s="42"/>
      <c r="F25" s="43"/>
      <c r="G25" s="69"/>
      <c r="H25" s="53"/>
    </row>
    <row r="26" spans="1:11" x14ac:dyDescent="0.25">
      <c r="A26" s="130" t="s">
        <v>119</v>
      </c>
      <c r="B26" s="131"/>
      <c r="C26" s="132"/>
      <c r="D26" s="36"/>
      <c r="E26" s="42"/>
      <c r="F26" s="43"/>
      <c r="G26" s="69"/>
    </row>
    <row r="27" spans="1:11" x14ac:dyDescent="0.25">
      <c r="A27" s="42" t="s">
        <v>76</v>
      </c>
      <c r="B27" s="43"/>
      <c r="C27" s="69"/>
      <c r="D27" s="36"/>
      <c r="E27" s="42"/>
      <c r="F27" s="43"/>
      <c r="G27" s="69"/>
      <c r="H27" t="s">
        <v>77</v>
      </c>
      <c r="I27" s="54">
        <v>300000</v>
      </c>
    </row>
    <row r="28" spans="1:11" x14ac:dyDescent="0.25">
      <c r="A28" s="42" t="s">
        <v>120</v>
      </c>
      <c r="B28" s="43"/>
      <c r="C28" s="69"/>
      <c r="D28" s="36"/>
      <c r="E28" s="42"/>
      <c r="F28" s="43"/>
      <c r="G28" s="69"/>
    </row>
    <row r="29" spans="1:11" ht="15.75" thickBot="1" x14ac:dyDescent="0.3">
      <c r="A29" s="48" t="s">
        <v>121</v>
      </c>
      <c r="B29" s="49"/>
      <c r="C29" s="44"/>
      <c r="D29" s="55"/>
      <c r="E29" s="48"/>
      <c r="F29" s="49"/>
      <c r="G29" s="44"/>
    </row>
  </sheetData>
  <mergeCells count="22">
    <mergeCell ref="A25:B25"/>
    <mergeCell ref="A26:C26"/>
    <mergeCell ref="A22:C22"/>
    <mergeCell ref="E22:G22"/>
    <mergeCell ref="A23:C23"/>
    <mergeCell ref="E23:G23"/>
    <mergeCell ref="A24:C24"/>
    <mergeCell ref="E24:G24"/>
    <mergeCell ref="E12:G12"/>
    <mergeCell ref="E13:F13"/>
    <mergeCell ref="A14:C14"/>
    <mergeCell ref="E14:G14"/>
    <mergeCell ref="A15:C15"/>
    <mergeCell ref="E15:G15"/>
    <mergeCell ref="E8:G8"/>
    <mergeCell ref="E9:G9"/>
    <mergeCell ref="E10:F10"/>
    <mergeCell ref="E11:G11"/>
    <mergeCell ref="A2:G2"/>
    <mergeCell ref="A4:C4"/>
    <mergeCell ref="E4:G4"/>
    <mergeCell ref="E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03E8-E648-4DD8-AFE5-643B0988E188}">
  <sheetPr syncVertical="1" syncRef="A1" transitionEvaluation="1">
    <pageSetUpPr fitToPage="1"/>
  </sheetPr>
  <dimension ref="A1:K1387"/>
  <sheetViews>
    <sheetView showGridLines="0" zoomScale="65" zoomScaleNormal="65" workbookViewId="0">
      <selection activeCell="I27" sqref="I27"/>
    </sheetView>
  </sheetViews>
  <sheetFormatPr defaultColWidth="10.5703125" defaultRowHeight="15" x14ac:dyDescent="0.2"/>
  <cols>
    <col min="1" max="1" width="13.5703125" style="5" customWidth="1"/>
    <col min="2" max="2" width="11.28515625" style="6" customWidth="1"/>
    <col min="3" max="3" width="10.42578125" style="6" customWidth="1"/>
    <col min="4" max="4" width="14.7109375" style="6" customWidth="1"/>
    <col min="5" max="5" width="29.140625" style="6" customWidth="1"/>
    <col min="6" max="6" width="14.7109375" style="6" customWidth="1"/>
    <col min="7" max="7" width="12.85546875" style="6" customWidth="1"/>
    <col min="8" max="8" width="51.5703125" style="5" customWidth="1"/>
    <col min="9" max="9" width="21" style="6" customWidth="1"/>
    <col min="10" max="10" width="18" style="6" customWidth="1"/>
    <col min="11" max="11" width="15.28515625" style="6" customWidth="1"/>
    <col min="12" max="252" width="10.5703125" style="5"/>
    <col min="253" max="253" width="13.5703125" style="5" customWidth="1"/>
    <col min="254" max="254" width="14.7109375" style="5" customWidth="1"/>
    <col min="255" max="255" width="11.28515625" style="5" customWidth="1"/>
    <col min="256" max="256" width="8" style="5" customWidth="1"/>
    <col min="257" max="257" width="12.140625" style="5" customWidth="1"/>
    <col min="258" max="258" width="10.140625" style="5" customWidth="1"/>
    <col min="259" max="259" width="17.5703125" style="5" bestFit="1" customWidth="1"/>
    <col min="260" max="260" width="11.85546875" style="5" bestFit="1" customWidth="1"/>
    <col min="261" max="261" width="10.42578125" style="5" customWidth="1"/>
    <col min="262" max="262" width="12.85546875" style="5" customWidth="1"/>
    <col min="263" max="263" width="47.5703125" style="5" customWidth="1"/>
    <col min="264" max="264" width="12.42578125" style="5" customWidth="1"/>
    <col min="265" max="265" width="10.5703125" style="5"/>
    <col min="266" max="267" width="12" style="5" customWidth="1"/>
    <col min="268" max="508" width="10.5703125" style="5"/>
    <col min="509" max="509" width="13.5703125" style="5" customWidth="1"/>
    <col min="510" max="510" width="14.7109375" style="5" customWidth="1"/>
    <col min="511" max="511" width="11.28515625" style="5" customWidth="1"/>
    <col min="512" max="512" width="8" style="5" customWidth="1"/>
    <col min="513" max="513" width="12.140625" style="5" customWidth="1"/>
    <col min="514" max="514" width="10.140625" style="5" customWidth="1"/>
    <col min="515" max="515" width="17.5703125" style="5" bestFit="1" customWidth="1"/>
    <col min="516" max="516" width="11.85546875" style="5" bestFit="1" customWidth="1"/>
    <col min="517" max="517" width="10.42578125" style="5" customWidth="1"/>
    <col min="518" max="518" width="12.85546875" style="5" customWidth="1"/>
    <col min="519" max="519" width="47.5703125" style="5" customWidth="1"/>
    <col min="520" max="520" width="12.42578125" style="5" customWidth="1"/>
    <col min="521" max="521" width="10.5703125" style="5"/>
    <col min="522" max="523" width="12" style="5" customWidth="1"/>
    <col min="524" max="764" width="10.5703125" style="5"/>
    <col min="765" max="765" width="13.5703125" style="5" customWidth="1"/>
    <col min="766" max="766" width="14.7109375" style="5" customWidth="1"/>
    <col min="767" max="767" width="11.28515625" style="5" customWidth="1"/>
    <col min="768" max="768" width="8" style="5" customWidth="1"/>
    <col min="769" max="769" width="12.140625" style="5" customWidth="1"/>
    <col min="770" max="770" width="10.140625" style="5" customWidth="1"/>
    <col min="771" max="771" width="17.5703125" style="5" bestFit="1" customWidth="1"/>
    <col min="772" max="772" width="11.85546875" style="5" bestFit="1" customWidth="1"/>
    <col min="773" max="773" width="10.42578125" style="5" customWidth="1"/>
    <col min="774" max="774" width="12.85546875" style="5" customWidth="1"/>
    <col min="775" max="775" width="47.5703125" style="5" customWidth="1"/>
    <col min="776" max="776" width="12.42578125" style="5" customWidth="1"/>
    <col min="777" max="777" width="10.5703125" style="5"/>
    <col min="778" max="779" width="12" style="5" customWidth="1"/>
    <col min="780" max="1020" width="10.5703125" style="5"/>
    <col min="1021" max="1021" width="13.5703125" style="5" customWidth="1"/>
    <col min="1022" max="1022" width="14.7109375" style="5" customWidth="1"/>
    <col min="1023" max="1023" width="11.28515625" style="5" customWidth="1"/>
    <col min="1024" max="1024" width="8" style="5" customWidth="1"/>
    <col min="1025" max="1025" width="12.140625" style="5" customWidth="1"/>
    <col min="1026" max="1026" width="10.140625" style="5" customWidth="1"/>
    <col min="1027" max="1027" width="17.5703125" style="5" bestFit="1" customWidth="1"/>
    <col min="1028" max="1028" width="11.85546875" style="5" bestFit="1" customWidth="1"/>
    <col min="1029" max="1029" width="10.42578125" style="5" customWidth="1"/>
    <col min="1030" max="1030" width="12.85546875" style="5" customWidth="1"/>
    <col min="1031" max="1031" width="47.5703125" style="5" customWidth="1"/>
    <col min="1032" max="1032" width="12.42578125" style="5" customWidth="1"/>
    <col min="1033" max="1033" width="10.5703125" style="5"/>
    <col min="1034" max="1035" width="12" style="5" customWidth="1"/>
    <col min="1036" max="1276" width="10.5703125" style="5"/>
    <col min="1277" max="1277" width="13.5703125" style="5" customWidth="1"/>
    <col min="1278" max="1278" width="14.7109375" style="5" customWidth="1"/>
    <col min="1279" max="1279" width="11.28515625" style="5" customWidth="1"/>
    <col min="1280" max="1280" width="8" style="5" customWidth="1"/>
    <col min="1281" max="1281" width="12.140625" style="5" customWidth="1"/>
    <col min="1282" max="1282" width="10.140625" style="5" customWidth="1"/>
    <col min="1283" max="1283" width="17.5703125" style="5" bestFit="1" customWidth="1"/>
    <col min="1284" max="1284" width="11.85546875" style="5" bestFit="1" customWidth="1"/>
    <col min="1285" max="1285" width="10.42578125" style="5" customWidth="1"/>
    <col min="1286" max="1286" width="12.85546875" style="5" customWidth="1"/>
    <col min="1287" max="1287" width="47.5703125" style="5" customWidth="1"/>
    <col min="1288" max="1288" width="12.42578125" style="5" customWidth="1"/>
    <col min="1289" max="1289" width="10.5703125" style="5"/>
    <col min="1290" max="1291" width="12" style="5" customWidth="1"/>
    <col min="1292" max="1532" width="10.5703125" style="5"/>
    <col min="1533" max="1533" width="13.5703125" style="5" customWidth="1"/>
    <col min="1534" max="1534" width="14.7109375" style="5" customWidth="1"/>
    <col min="1535" max="1535" width="11.28515625" style="5" customWidth="1"/>
    <col min="1536" max="1536" width="8" style="5" customWidth="1"/>
    <col min="1537" max="1537" width="12.140625" style="5" customWidth="1"/>
    <col min="1538" max="1538" width="10.140625" style="5" customWidth="1"/>
    <col min="1539" max="1539" width="17.5703125" style="5" bestFit="1" customWidth="1"/>
    <col min="1540" max="1540" width="11.85546875" style="5" bestFit="1" customWidth="1"/>
    <col min="1541" max="1541" width="10.42578125" style="5" customWidth="1"/>
    <col min="1542" max="1542" width="12.85546875" style="5" customWidth="1"/>
    <col min="1543" max="1543" width="47.5703125" style="5" customWidth="1"/>
    <col min="1544" max="1544" width="12.42578125" style="5" customWidth="1"/>
    <col min="1545" max="1545" width="10.5703125" style="5"/>
    <col min="1546" max="1547" width="12" style="5" customWidth="1"/>
    <col min="1548" max="1788" width="10.5703125" style="5"/>
    <col min="1789" max="1789" width="13.5703125" style="5" customWidth="1"/>
    <col min="1790" max="1790" width="14.7109375" style="5" customWidth="1"/>
    <col min="1791" max="1791" width="11.28515625" style="5" customWidth="1"/>
    <col min="1792" max="1792" width="8" style="5" customWidth="1"/>
    <col min="1793" max="1793" width="12.140625" style="5" customWidth="1"/>
    <col min="1794" max="1794" width="10.140625" style="5" customWidth="1"/>
    <col min="1795" max="1795" width="17.5703125" style="5" bestFit="1" customWidth="1"/>
    <col min="1796" max="1796" width="11.85546875" style="5" bestFit="1" customWidth="1"/>
    <col min="1797" max="1797" width="10.42578125" style="5" customWidth="1"/>
    <col min="1798" max="1798" width="12.85546875" style="5" customWidth="1"/>
    <col min="1799" max="1799" width="47.5703125" style="5" customWidth="1"/>
    <col min="1800" max="1800" width="12.42578125" style="5" customWidth="1"/>
    <col min="1801" max="1801" width="10.5703125" style="5"/>
    <col min="1802" max="1803" width="12" style="5" customWidth="1"/>
    <col min="1804" max="2044" width="10.5703125" style="5"/>
    <col min="2045" max="2045" width="13.5703125" style="5" customWidth="1"/>
    <col min="2046" max="2046" width="14.7109375" style="5" customWidth="1"/>
    <col min="2047" max="2047" width="11.28515625" style="5" customWidth="1"/>
    <col min="2048" max="2048" width="8" style="5" customWidth="1"/>
    <col min="2049" max="2049" width="12.140625" style="5" customWidth="1"/>
    <col min="2050" max="2050" width="10.140625" style="5" customWidth="1"/>
    <col min="2051" max="2051" width="17.5703125" style="5" bestFit="1" customWidth="1"/>
    <col min="2052" max="2052" width="11.85546875" style="5" bestFit="1" customWidth="1"/>
    <col min="2053" max="2053" width="10.42578125" style="5" customWidth="1"/>
    <col min="2054" max="2054" width="12.85546875" style="5" customWidth="1"/>
    <col min="2055" max="2055" width="47.5703125" style="5" customWidth="1"/>
    <col min="2056" max="2056" width="12.42578125" style="5" customWidth="1"/>
    <col min="2057" max="2057" width="10.5703125" style="5"/>
    <col min="2058" max="2059" width="12" style="5" customWidth="1"/>
    <col min="2060" max="2300" width="10.5703125" style="5"/>
    <col min="2301" max="2301" width="13.5703125" style="5" customWidth="1"/>
    <col min="2302" max="2302" width="14.7109375" style="5" customWidth="1"/>
    <col min="2303" max="2303" width="11.28515625" style="5" customWidth="1"/>
    <col min="2304" max="2304" width="8" style="5" customWidth="1"/>
    <col min="2305" max="2305" width="12.140625" style="5" customWidth="1"/>
    <col min="2306" max="2306" width="10.140625" style="5" customWidth="1"/>
    <col min="2307" max="2307" width="17.5703125" style="5" bestFit="1" customWidth="1"/>
    <col min="2308" max="2308" width="11.85546875" style="5" bestFit="1" customWidth="1"/>
    <col min="2309" max="2309" width="10.42578125" style="5" customWidth="1"/>
    <col min="2310" max="2310" width="12.85546875" style="5" customWidth="1"/>
    <col min="2311" max="2311" width="47.5703125" style="5" customWidth="1"/>
    <col min="2312" max="2312" width="12.42578125" style="5" customWidth="1"/>
    <col min="2313" max="2313" width="10.5703125" style="5"/>
    <col min="2314" max="2315" width="12" style="5" customWidth="1"/>
    <col min="2316" max="2556" width="10.5703125" style="5"/>
    <col min="2557" max="2557" width="13.5703125" style="5" customWidth="1"/>
    <col min="2558" max="2558" width="14.7109375" style="5" customWidth="1"/>
    <col min="2559" max="2559" width="11.28515625" style="5" customWidth="1"/>
    <col min="2560" max="2560" width="8" style="5" customWidth="1"/>
    <col min="2561" max="2561" width="12.140625" style="5" customWidth="1"/>
    <col min="2562" max="2562" width="10.140625" style="5" customWidth="1"/>
    <col min="2563" max="2563" width="17.5703125" style="5" bestFit="1" customWidth="1"/>
    <col min="2564" max="2564" width="11.85546875" style="5" bestFit="1" customWidth="1"/>
    <col min="2565" max="2565" width="10.42578125" style="5" customWidth="1"/>
    <col min="2566" max="2566" width="12.85546875" style="5" customWidth="1"/>
    <col min="2567" max="2567" width="47.5703125" style="5" customWidth="1"/>
    <col min="2568" max="2568" width="12.42578125" style="5" customWidth="1"/>
    <col min="2569" max="2569" width="10.5703125" style="5"/>
    <col min="2570" max="2571" width="12" style="5" customWidth="1"/>
    <col min="2572" max="2812" width="10.5703125" style="5"/>
    <col min="2813" max="2813" width="13.5703125" style="5" customWidth="1"/>
    <col min="2814" max="2814" width="14.7109375" style="5" customWidth="1"/>
    <col min="2815" max="2815" width="11.28515625" style="5" customWidth="1"/>
    <col min="2816" max="2816" width="8" style="5" customWidth="1"/>
    <col min="2817" max="2817" width="12.140625" style="5" customWidth="1"/>
    <col min="2818" max="2818" width="10.140625" style="5" customWidth="1"/>
    <col min="2819" max="2819" width="17.5703125" style="5" bestFit="1" customWidth="1"/>
    <col min="2820" max="2820" width="11.85546875" style="5" bestFit="1" customWidth="1"/>
    <col min="2821" max="2821" width="10.42578125" style="5" customWidth="1"/>
    <col min="2822" max="2822" width="12.85546875" style="5" customWidth="1"/>
    <col min="2823" max="2823" width="47.5703125" style="5" customWidth="1"/>
    <col min="2824" max="2824" width="12.42578125" style="5" customWidth="1"/>
    <col min="2825" max="2825" width="10.5703125" style="5"/>
    <col min="2826" max="2827" width="12" style="5" customWidth="1"/>
    <col min="2828" max="3068" width="10.5703125" style="5"/>
    <col min="3069" max="3069" width="13.5703125" style="5" customWidth="1"/>
    <col min="3070" max="3070" width="14.7109375" style="5" customWidth="1"/>
    <col min="3071" max="3071" width="11.28515625" style="5" customWidth="1"/>
    <col min="3072" max="3072" width="8" style="5" customWidth="1"/>
    <col min="3073" max="3073" width="12.140625" style="5" customWidth="1"/>
    <col min="3074" max="3074" width="10.140625" style="5" customWidth="1"/>
    <col min="3075" max="3075" width="17.5703125" style="5" bestFit="1" customWidth="1"/>
    <col min="3076" max="3076" width="11.85546875" style="5" bestFit="1" customWidth="1"/>
    <col min="3077" max="3077" width="10.42578125" style="5" customWidth="1"/>
    <col min="3078" max="3078" width="12.85546875" style="5" customWidth="1"/>
    <col min="3079" max="3079" width="47.5703125" style="5" customWidth="1"/>
    <col min="3080" max="3080" width="12.42578125" style="5" customWidth="1"/>
    <col min="3081" max="3081" width="10.5703125" style="5"/>
    <col min="3082" max="3083" width="12" style="5" customWidth="1"/>
    <col min="3084" max="3324" width="10.5703125" style="5"/>
    <col min="3325" max="3325" width="13.5703125" style="5" customWidth="1"/>
    <col min="3326" max="3326" width="14.7109375" style="5" customWidth="1"/>
    <col min="3327" max="3327" width="11.28515625" style="5" customWidth="1"/>
    <col min="3328" max="3328" width="8" style="5" customWidth="1"/>
    <col min="3329" max="3329" width="12.140625" style="5" customWidth="1"/>
    <col min="3330" max="3330" width="10.140625" style="5" customWidth="1"/>
    <col min="3331" max="3331" width="17.5703125" style="5" bestFit="1" customWidth="1"/>
    <col min="3332" max="3332" width="11.85546875" style="5" bestFit="1" customWidth="1"/>
    <col min="3333" max="3333" width="10.42578125" style="5" customWidth="1"/>
    <col min="3334" max="3334" width="12.85546875" style="5" customWidth="1"/>
    <col min="3335" max="3335" width="47.5703125" style="5" customWidth="1"/>
    <col min="3336" max="3336" width="12.42578125" style="5" customWidth="1"/>
    <col min="3337" max="3337" width="10.5703125" style="5"/>
    <col min="3338" max="3339" width="12" style="5" customWidth="1"/>
    <col min="3340" max="3580" width="10.5703125" style="5"/>
    <col min="3581" max="3581" width="13.5703125" style="5" customWidth="1"/>
    <col min="3582" max="3582" width="14.7109375" style="5" customWidth="1"/>
    <col min="3583" max="3583" width="11.28515625" style="5" customWidth="1"/>
    <col min="3584" max="3584" width="8" style="5" customWidth="1"/>
    <col min="3585" max="3585" width="12.140625" style="5" customWidth="1"/>
    <col min="3586" max="3586" width="10.140625" style="5" customWidth="1"/>
    <col min="3587" max="3587" width="17.5703125" style="5" bestFit="1" customWidth="1"/>
    <col min="3588" max="3588" width="11.85546875" style="5" bestFit="1" customWidth="1"/>
    <col min="3589" max="3589" width="10.42578125" style="5" customWidth="1"/>
    <col min="3590" max="3590" width="12.85546875" style="5" customWidth="1"/>
    <col min="3591" max="3591" width="47.5703125" style="5" customWidth="1"/>
    <col min="3592" max="3592" width="12.42578125" style="5" customWidth="1"/>
    <col min="3593" max="3593" width="10.5703125" style="5"/>
    <col min="3594" max="3595" width="12" style="5" customWidth="1"/>
    <col min="3596" max="3836" width="10.5703125" style="5"/>
    <col min="3837" max="3837" width="13.5703125" style="5" customWidth="1"/>
    <col min="3838" max="3838" width="14.7109375" style="5" customWidth="1"/>
    <col min="3839" max="3839" width="11.28515625" style="5" customWidth="1"/>
    <col min="3840" max="3840" width="8" style="5" customWidth="1"/>
    <col min="3841" max="3841" width="12.140625" style="5" customWidth="1"/>
    <col min="3842" max="3842" width="10.140625" style="5" customWidth="1"/>
    <col min="3843" max="3843" width="17.5703125" style="5" bestFit="1" customWidth="1"/>
    <col min="3844" max="3844" width="11.85546875" style="5" bestFit="1" customWidth="1"/>
    <col min="3845" max="3845" width="10.42578125" style="5" customWidth="1"/>
    <col min="3846" max="3846" width="12.85546875" style="5" customWidth="1"/>
    <col min="3847" max="3847" width="47.5703125" style="5" customWidth="1"/>
    <col min="3848" max="3848" width="12.42578125" style="5" customWidth="1"/>
    <col min="3849" max="3849" width="10.5703125" style="5"/>
    <col min="3850" max="3851" width="12" style="5" customWidth="1"/>
    <col min="3852" max="4092" width="10.5703125" style="5"/>
    <col min="4093" max="4093" width="13.5703125" style="5" customWidth="1"/>
    <col min="4094" max="4094" width="14.7109375" style="5" customWidth="1"/>
    <col min="4095" max="4095" width="11.28515625" style="5" customWidth="1"/>
    <col min="4096" max="4096" width="8" style="5" customWidth="1"/>
    <col min="4097" max="4097" width="12.140625" style="5" customWidth="1"/>
    <col min="4098" max="4098" width="10.140625" style="5" customWidth="1"/>
    <col min="4099" max="4099" width="17.5703125" style="5" bestFit="1" customWidth="1"/>
    <col min="4100" max="4100" width="11.85546875" style="5" bestFit="1" customWidth="1"/>
    <col min="4101" max="4101" width="10.42578125" style="5" customWidth="1"/>
    <col min="4102" max="4102" width="12.85546875" style="5" customWidth="1"/>
    <col min="4103" max="4103" width="47.5703125" style="5" customWidth="1"/>
    <col min="4104" max="4104" width="12.42578125" style="5" customWidth="1"/>
    <col min="4105" max="4105" width="10.5703125" style="5"/>
    <col min="4106" max="4107" width="12" style="5" customWidth="1"/>
    <col min="4108" max="4348" width="10.5703125" style="5"/>
    <col min="4349" max="4349" width="13.5703125" style="5" customWidth="1"/>
    <col min="4350" max="4350" width="14.7109375" style="5" customWidth="1"/>
    <col min="4351" max="4351" width="11.28515625" style="5" customWidth="1"/>
    <col min="4352" max="4352" width="8" style="5" customWidth="1"/>
    <col min="4353" max="4353" width="12.140625" style="5" customWidth="1"/>
    <col min="4354" max="4354" width="10.140625" style="5" customWidth="1"/>
    <col min="4355" max="4355" width="17.5703125" style="5" bestFit="1" customWidth="1"/>
    <col min="4356" max="4356" width="11.85546875" style="5" bestFit="1" customWidth="1"/>
    <col min="4357" max="4357" width="10.42578125" style="5" customWidth="1"/>
    <col min="4358" max="4358" width="12.85546875" style="5" customWidth="1"/>
    <col min="4359" max="4359" width="47.5703125" style="5" customWidth="1"/>
    <col min="4360" max="4360" width="12.42578125" style="5" customWidth="1"/>
    <col min="4361" max="4361" width="10.5703125" style="5"/>
    <col min="4362" max="4363" width="12" style="5" customWidth="1"/>
    <col min="4364" max="4604" width="10.5703125" style="5"/>
    <col min="4605" max="4605" width="13.5703125" style="5" customWidth="1"/>
    <col min="4606" max="4606" width="14.7109375" style="5" customWidth="1"/>
    <col min="4607" max="4607" width="11.28515625" style="5" customWidth="1"/>
    <col min="4608" max="4608" width="8" style="5" customWidth="1"/>
    <col min="4609" max="4609" width="12.140625" style="5" customWidth="1"/>
    <col min="4610" max="4610" width="10.140625" style="5" customWidth="1"/>
    <col min="4611" max="4611" width="17.5703125" style="5" bestFit="1" customWidth="1"/>
    <col min="4612" max="4612" width="11.85546875" style="5" bestFit="1" customWidth="1"/>
    <col min="4613" max="4613" width="10.42578125" style="5" customWidth="1"/>
    <col min="4614" max="4614" width="12.85546875" style="5" customWidth="1"/>
    <col min="4615" max="4615" width="47.5703125" style="5" customWidth="1"/>
    <col min="4616" max="4616" width="12.42578125" style="5" customWidth="1"/>
    <col min="4617" max="4617" width="10.5703125" style="5"/>
    <col min="4618" max="4619" width="12" style="5" customWidth="1"/>
    <col min="4620" max="4860" width="10.5703125" style="5"/>
    <col min="4861" max="4861" width="13.5703125" style="5" customWidth="1"/>
    <col min="4862" max="4862" width="14.7109375" style="5" customWidth="1"/>
    <col min="4863" max="4863" width="11.28515625" style="5" customWidth="1"/>
    <col min="4864" max="4864" width="8" style="5" customWidth="1"/>
    <col min="4865" max="4865" width="12.140625" style="5" customWidth="1"/>
    <col min="4866" max="4866" width="10.140625" style="5" customWidth="1"/>
    <col min="4867" max="4867" width="17.5703125" style="5" bestFit="1" customWidth="1"/>
    <col min="4868" max="4868" width="11.85546875" style="5" bestFit="1" customWidth="1"/>
    <col min="4869" max="4869" width="10.42578125" style="5" customWidth="1"/>
    <col min="4870" max="4870" width="12.85546875" style="5" customWidth="1"/>
    <col min="4871" max="4871" width="47.5703125" style="5" customWidth="1"/>
    <col min="4872" max="4872" width="12.42578125" style="5" customWidth="1"/>
    <col min="4873" max="4873" width="10.5703125" style="5"/>
    <col min="4874" max="4875" width="12" style="5" customWidth="1"/>
    <col min="4876" max="5116" width="10.5703125" style="5"/>
    <col min="5117" max="5117" width="13.5703125" style="5" customWidth="1"/>
    <col min="5118" max="5118" width="14.7109375" style="5" customWidth="1"/>
    <col min="5119" max="5119" width="11.28515625" style="5" customWidth="1"/>
    <col min="5120" max="5120" width="8" style="5" customWidth="1"/>
    <col min="5121" max="5121" width="12.140625" style="5" customWidth="1"/>
    <col min="5122" max="5122" width="10.140625" style="5" customWidth="1"/>
    <col min="5123" max="5123" width="17.5703125" style="5" bestFit="1" customWidth="1"/>
    <col min="5124" max="5124" width="11.85546875" style="5" bestFit="1" customWidth="1"/>
    <col min="5125" max="5125" width="10.42578125" style="5" customWidth="1"/>
    <col min="5126" max="5126" width="12.85546875" style="5" customWidth="1"/>
    <col min="5127" max="5127" width="47.5703125" style="5" customWidth="1"/>
    <col min="5128" max="5128" width="12.42578125" style="5" customWidth="1"/>
    <col min="5129" max="5129" width="10.5703125" style="5"/>
    <col min="5130" max="5131" width="12" style="5" customWidth="1"/>
    <col min="5132" max="5372" width="10.5703125" style="5"/>
    <col min="5373" max="5373" width="13.5703125" style="5" customWidth="1"/>
    <col min="5374" max="5374" width="14.7109375" style="5" customWidth="1"/>
    <col min="5375" max="5375" width="11.28515625" style="5" customWidth="1"/>
    <col min="5376" max="5376" width="8" style="5" customWidth="1"/>
    <col min="5377" max="5377" width="12.140625" style="5" customWidth="1"/>
    <col min="5378" max="5378" width="10.140625" style="5" customWidth="1"/>
    <col min="5379" max="5379" width="17.5703125" style="5" bestFit="1" customWidth="1"/>
    <col min="5380" max="5380" width="11.85546875" style="5" bestFit="1" customWidth="1"/>
    <col min="5381" max="5381" width="10.42578125" style="5" customWidth="1"/>
    <col min="5382" max="5382" width="12.85546875" style="5" customWidth="1"/>
    <col min="5383" max="5383" width="47.5703125" style="5" customWidth="1"/>
    <col min="5384" max="5384" width="12.42578125" style="5" customWidth="1"/>
    <col min="5385" max="5385" width="10.5703125" style="5"/>
    <col min="5386" max="5387" width="12" style="5" customWidth="1"/>
    <col min="5388" max="5628" width="10.5703125" style="5"/>
    <col min="5629" max="5629" width="13.5703125" style="5" customWidth="1"/>
    <col min="5630" max="5630" width="14.7109375" style="5" customWidth="1"/>
    <col min="5631" max="5631" width="11.28515625" style="5" customWidth="1"/>
    <col min="5632" max="5632" width="8" style="5" customWidth="1"/>
    <col min="5633" max="5633" width="12.140625" style="5" customWidth="1"/>
    <col min="5634" max="5634" width="10.140625" style="5" customWidth="1"/>
    <col min="5635" max="5635" width="17.5703125" style="5" bestFit="1" customWidth="1"/>
    <col min="5636" max="5636" width="11.85546875" style="5" bestFit="1" customWidth="1"/>
    <col min="5637" max="5637" width="10.42578125" style="5" customWidth="1"/>
    <col min="5638" max="5638" width="12.85546875" style="5" customWidth="1"/>
    <col min="5639" max="5639" width="47.5703125" style="5" customWidth="1"/>
    <col min="5640" max="5640" width="12.42578125" style="5" customWidth="1"/>
    <col min="5641" max="5641" width="10.5703125" style="5"/>
    <col min="5642" max="5643" width="12" style="5" customWidth="1"/>
    <col min="5644" max="5884" width="10.5703125" style="5"/>
    <col min="5885" max="5885" width="13.5703125" style="5" customWidth="1"/>
    <col min="5886" max="5886" width="14.7109375" style="5" customWidth="1"/>
    <col min="5887" max="5887" width="11.28515625" style="5" customWidth="1"/>
    <col min="5888" max="5888" width="8" style="5" customWidth="1"/>
    <col min="5889" max="5889" width="12.140625" style="5" customWidth="1"/>
    <col min="5890" max="5890" width="10.140625" style="5" customWidth="1"/>
    <col min="5891" max="5891" width="17.5703125" style="5" bestFit="1" customWidth="1"/>
    <col min="5892" max="5892" width="11.85546875" style="5" bestFit="1" customWidth="1"/>
    <col min="5893" max="5893" width="10.42578125" style="5" customWidth="1"/>
    <col min="5894" max="5894" width="12.85546875" style="5" customWidth="1"/>
    <col min="5895" max="5895" width="47.5703125" style="5" customWidth="1"/>
    <col min="5896" max="5896" width="12.42578125" style="5" customWidth="1"/>
    <col min="5897" max="5897" width="10.5703125" style="5"/>
    <col min="5898" max="5899" width="12" style="5" customWidth="1"/>
    <col min="5900" max="6140" width="10.5703125" style="5"/>
    <col min="6141" max="6141" width="13.5703125" style="5" customWidth="1"/>
    <col min="6142" max="6142" width="14.7109375" style="5" customWidth="1"/>
    <col min="6143" max="6143" width="11.28515625" style="5" customWidth="1"/>
    <col min="6144" max="6144" width="8" style="5" customWidth="1"/>
    <col min="6145" max="6145" width="12.140625" style="5" customWidth="1"/>
    <col min="6146" max="6146" width="10.140625" style="5" customWidth="1"/>
    <col min="6147" max="6147" width="17.5703125" style="5" bestFit="1" customWidth="1"/>
    <col min="6148" max="6148" width="11.85546875" style="5" bestFit="1" customWidth="1"/>
    <col min="6149" max="6149" width="10.42578125" style="5" customWidth="1"/>
    <col min="6150" max="6150" width="12.85546875" style="5" customWidth="1"/>
    <col min="6151" max="6151" width="47.5703125" style="5" customWidth="1"/>
    <col min="6152" max="6152" width="12.42578125" style="5" customWidth="1"/>
    <col min="6153" max="6153" width="10.5703125" style="5"/>
    <col min="6154" max="6155" width="12" style="5" customWidth="1"/>
    <col min="6156" max="6396" width="10.5703125" style="5"/>
    <col min="6397" max="6397" width="13.5703125" style="5" customWidth="1"/>
    <col min="6398" max="6398" width="14.7109375" style="5" customWidth="1"/>
    <col min="6399" max="6399" width="11.28515625" style="5" customWidth="1"/>
    <col min="6400" max="6400" width="8" style="5" customWidth="1"/>
    <col min="6401" max="6401" width="12.140625" style="5" customWidth="1"/>
    <col min="6402" max="6402" width="10.140625" style="5" customWidth="1"/>
    <col min="6403" max="6403" width="17.5703125" style="5" bestFit="1" customWidth="1"/>
    <col min="6404" max="6404" width="11.85546875" style="5" bestFit="1" customWidth="1"/>
    <col min="6405" max="6405" width="10.42578125" style="5" customWidth="1"/>
    <col min="6406" max="6406" width="12.85546875" style="5" customWidth="1"/>
    <col min="6407" max="6407" width="47.5703125" style="5" customWidth="1"/>
    <col min="6408" max="6408" width="12.42578125" style="5" customWidth="1"/>
    <col min="6409" max="6409" width="10.5703125" style="5"/>
    <col min="6410" max="6411" width="12" style="5" customWidth="1"/>
    <col min="6412" max="6652" width="10.5703125" style="5"/>
    <col min="6653" max="6653" width="13.5703125" style="5" customWidth="1"/>
    <col min="6654" max="6654" width="14.7109375" style="5" customWidth="1"/>
    <col min="6655" max="6655" width="11.28515625" style="5" customWidth="1"/>
    <col min="6656" max="6656" width="8" style="5" customWidth="1"/>
    <col min="6657" max="6657" width="12.140625" style="5" customWidth="1"/>
    <col min="6658" max="6658" width="10.140625" style="5" customWidth="1"/>
    <col min="6659" max="6659" width="17.5703125" style="5" bestFit="1" customWidth="1"/>
    <col min="6660" max="6660" width="11.85546875" style="5" bestFit="1" customWidth="1"/>
    <col min="6661" max="6661" width="10.42578125" style="5" customWidth="1"/>
    <col min="6662" max="6662" width="12.85546875" style="5" customWidth="1"/>
    <col min="6663" max="6663" width="47.5703125" style="5" customWidth="1"/>
    <col min="6664" max="6664" width="12.42578125" style="5" customWidth="1"/>
    <col min="6665" max="6665" width="10.5703125" style="5"/>
    <col min="6666" max="6667" width="12" style="5" customWidth="1"/>
    <col min="6668" max="6908" width="10.5703125" style="5"/>
    <col min="6909" max="6909" width="13.5703125" style="5" customWidth="1"/>
    <col min="6910" max="6910" width="14.7109375" style="5" customWidth="1"/>
    <col min="6911" max="6911" width="11.28515625" style="5" customWidth="1"/>
    <col min="6912" max="6912" width="8" style="5" customWidth="1"/>
    <col min="6913" max="6913" width="12.140625" style="5" customWidth="1"/>
    <col min="6914" max="6914" width="10.140625" style="5" customWidth="1"/>
    <col min="6915" max="6915" width="17.5703125" style="5" bestFit="1" customWidth="1"/>
    <col min="6916" max="6916" width="11.85546875" style="5" bestFit="1" customWidth="1"/>
    <col min="6917" max="6917" width="10.42578125" style="5" customWidth="1"/>
    <col min="6918" max="6918" width="12.85546875" style="5" customWidth="1"/>
    <col min="6919" max="6919" width="47.5703125" style="5" customWidth="1"/>
    <col min="6920" max="6920" width="12.42578125" style="5" customWidth="1"/>
    <col min="6921" max="6921" width="10.5703125" style="5"/>
    <col min="6922" max="6923" width="12" style="5" customWidth="1"/>
    <col min="6924" max="7164" width="10.5703125" style="5"/>
    <col min="7165" max="7165" width="13.5703125" style="5" customWidth="1"/>
    <col min="7166" max="7166" width="14.7109375" style="5" customWidth="1"/>
    <col min="7167" max="7167" width="11.28515625" style="5" customWidth="1"/>
    <col min="7168" max="7168" width="8" style="5" customWidth="1"/>
    <col min="7169" max="7169" width="12.140625" style="5" customWidth="1"/>
    <col min="7170" max="7170" width="10.140625" style="5" customWidth="1"/>
    <col min="7171" max="7171" width="17.5703125" style="5" bestFit="1" customWidth="1"/>
    <col min="7172" max="7172" width="11.85546875" style="5" bestFit="1" customWidth="1"/>
    <col min="7173" max="7173" width="10.42578125" style="5" customWidth="1"/>
    <col min="7174" max="7174" width="12.85546875" style="5" customWidth="1"/>
    <col min="7175" max="7175" width="47.5703125" style="5" customWidth="1"/>
    <col min="7176" max="7176" width="12.42578125" style="5" customWidth="1"/>
    <col min="7177" max="7177" width="10.5703125" style="5"/>
    <col min="7178" max="7179" width="12" style="5" customWidth="1"/>
    <col min="7180" max="7420" width="10.5703125" style="5"/>
    <col min="7421" max="7421" width="13.5703125" style="5" customWidth="1"/>
    <col min="7422" max="7422" width="14.7109375" style="5" customWidth="1"/>
    <col min="7423" max="7423" width="11.28515625" style="5" customWidth="1"/>
    <col min="7424" max="7424" width="8" style="5" customWidth="1"/>
    <col min="7425" max="7425" width="12.140625" style="5" customWidth="1"/>
    <col min="7426" max="7426" width="10.140625" style="5" customWidth="1"/>
    <col min="7427" max="7427" width="17.5703125" style="5" bestFit="1" customWidth="1"/>
    <col min="7428" max="7428" width="11.85546875" style="5" bestFit="1" customWidth="1"/>
    <col min="7429" max="7429" width="10.42578125" style="5" customWidth="1"/>
    <col min="7430" max="7430" width="12.85546875" style="5" customWidth="1"/>
    <col min="7431" max="7431" width="47.5703125" style="5" customWidth="1"/>
    <col min="7432" max="7432" width="12.42578125" style="5" customWidth="1"/>
    <col min="7433" max="7433" width="10.5703125" style="5"/>
    <col min="7434" max="7435" width="12" style="5" customWidth="1"/>
    <col min="7436" max="7676" width="10.5703125" style="5"/>
    <col min="7677" max="7677" width="13.5703125" style="5" customWidth="1"/>
    <col min="7678" max="7678" width="14.7109375" style="5" customWidth="1"/>
    <col min="7679" max="7679" width="11.28515625" style="5" customWidth="1"/>
    <col min="7680" max="7680" width="8" style="5" customWidth="1"/>
    <col min="7681" max="7681" width="12.140625" style="5" customWidth="1"/>
    <col min="7682" max="7682" width="10.140625" style="5" customWidth="1"/>
    <col min="7683" max="7683" width="17.5703125" style="5" bestFit="1" customWidth="1"/>
    <col min="7684" max="7684" width="11.85546875" style="5" bestFit="1" customWidth="1"/>
    <col min="7685" max="7685" width="10.42578125" style="5" customWidth="1"/>
    <col min="7686" max="7686" width="12.85546875" style="5" customWidth="1"/>
    <col min="7687" max="7687" width="47.5703125" style="5" customWidth="1"/>
    <col min="7688" max="7688" width="12.42578125" style="5" customWidth="1"/>
    <col min="7689" max="7689" width="10.5703125" style="5"/>
    <col min="7690" max="7691" width="12" style="5" customWidth="1"/>
    <col min="7692" max="7932" width="10.5703125" style="5"/>
    <col min="7933" max="7933" width="13.5703125" style="5" customWidth="1"/>
    <col min="7934" max="7934" width="14.7109375" style="5" customWidth="1"/>
    <col min="7935" max="7935" width="11.28515625" style="5" customWidth="1"/>
    <col min="7936" max="7936" width="8" style="5" customWidth="1"/>
    <col min="7937" max="7937" width="12.140625" style="5" customWidth="1"/>
    <col min="7938" max="7938" width="10.140625" style="5" customWidth="1"/>
    <col min="7939" max="7939" width="17.5703125" style="5" bestFit="1" customWidth="1"/>
    <col min="7940" max="7940" width="11.85546875" style="5" bestFit="1" customWidth="1"/>
    <col min="7941" max="7941" width="10.42578125" style="5" customWidth="1"/>
    <col min="7942" max="7942" width="12.85546875" style="5" customWidth="1"/>
    <col min="7943" max="7943" width="47.5703125" style="5" customWidth="1"/>
    <col min="7944" max="7944" width="12.42578125" style="5" customWidth="1"/>
    <col min="7945" max="7945" width="10.5703125" style="5"/>
    <col min="7946" max="7947" width="12" style="5" customWidth="1"/>
    <col min="7948" max="8188" width="10.5703125" style="5"/>
    <col min="8189" max="8189" width="13.5703125" style="5" customWidth="1"/>
    <col min="8190" max="8190" width="14.7109375" style="5" customWidth="1"/>
    <col min="8191" max="8191" width="11.28515625" style="5" customWidth="1"/>
    <col min="8192" max="8192" width="8" style="5" customWidth="1"/>
    <col min="8193" max="8193" width="12.140625" style="5" customWidth="1"/>
    <col min="8194" max="8194" width="10.140625" style="5" customWidth="1"/>
    <col min="8195" max="8195" width="17.5703125" style="5" bestFit="1" customWidth="1"/>
    <col min="8196" max="8196" width="11.85546875" style="5" bestFit="1" customWidth="1"/>
    <col min="8197" max="8197" width="10.42578125" style="5" customWidth="1"/>
    <col min="8198" max="8198" width="12.85546875" style="5" customWidth="1"/>
    <col min="8199" max="8199" width="47.5703125" style="5" customWidth="1"/>
    <col min="8200" max="8200" width="12.42578125" style="5" customWidth="1"/>
    <col min="8201" max="8201" width="10.5703125" style="5"/>
    <col min="8202" max="8203" width="12" style="5" customWidth="1"/>
    <col min="8204" max="8444" width="10.5703125" style="5"/>
    <col min="8445" max="8445" width="13.5703125" style="5" customWidth="1"/>
    <col min="8446" max="8446" width="14.7109375" style="5" customWidth="1"/>
    <col min="8447" max="8447" width="11.28515625" style="5" customWidth="1"/>
    <col min="8448" max="8448" width="8" style="5" customWidth="1"/>
    <col min="8449" max="8449" width="12.140625" style="5" customWidth="1"/>
    <col min="8450" max="8450" width="10.140625" style="5" customWidth="1"/>
    <col min="8451" max="8451" width="17.5703125" style="5" bestFit="1" customWidth="1"/>
    <col min="8452" max="8452" width="11.85546875" style="5" bestFit="1" customWidth="1"/>
    <col min="8453" max="8453" width="10.42578125" style="5" customWidth="1"/>
    <col min="8454" max="8454" width="12.85546875" style="5" customWidth="1"/>
    <col min="8455" max="8455" width="47.5703125" style="5" customWidth="1"/>
    <col min="8456" max="8456" width="12.42578125" style="5" customWidth="1"/>
    <col min="8457" max="8457" width="10.5703125" style="5"/>
    <col min="8458" max="8459" width="12" style="5" customWidth="1"/>
    <col min="8460" max="8700" width="10.5703125" style="5"/>
    <col min="8701" max="8701" width="13.5703125" style="5" customWidth="1"/>
    <col min="8702" max="8702" width="14.7109375" style="5" customWidth="1"/>
    <col min="8703" max="8703" width="11.28515625" style="5" customWidth="1"/>
    <col min="8704" max="8704" width="8" style="5" customWidth="1"/>
    <col min="8705" max="8705" width="12.140625" style="5" customWidth="1"/>
    <col min="8706" max="8706" width="10.140625" style="5" customWidth="1"/>
    <col min="8707" max="8707" width="17.5703125" style="5" bestFit="1" customWidth="1"/>
    <col min="8708" max="8708" width="11.85546875" style="5" bestFit="1" customWidth="1"/>
    <col min="8709" max="8709" width="10.42578125" style="5" customWidth="1"/>
    <col min="8710" max="8710" width="12.85546875" style="5" customWidth="1"/>
    <col min="8711" max="8711" width="47.5703125" style="5" customWidth="1"/>
    <col min="8712" max="8712" width="12.42578125" style="5" customWidth="1"/>
    <col min="8713" max="8713" width="10.5703125" style="5"/>
    <col min="8714" max="8715" width="12" style="5" customWidth="1"/>
    <col min="8716" max="8956" width="10.5703125" style="5"/>
    <col min="8957" max="8957" width="13.5703125" style="5" customWidth="1"/>
    <col min="8958" max="8958" width="14.7109375" style="5" customWidth="1"/>
    <col min="8959" max="8959" width="11.28515625" style="5" customWidth="1"/>
    <col min="8960" max="8960" width="8" style="5" customWidth="1"/>
    <col min="8961" max="8961" width="12.140625" style="5" customWidth="1"/>
    <col min="8962" max="8962" width="10.140625" style="5" customWidth="1"/>
    <col min="8963" max="8963" width="17.5703125" style="5" bestFit="1" customWidth="1"/>
    <col min="8964" max="8964" width="11.85546875" style="5" bestFit="1" customWidth="1"/>
    <col min="8965" max="8965" width="10.42578125" style="5" customWidth="1"/>
    <col min="8966" max="8966" width="12.85546875" style="5" customWidth="1"/>
    <col min="8967" max="8967" width="47.5703125" style="5" customWidth="1"/>
    <col min="8968" max="8968" width="12.42578125" style="5" customWidth="1"/>
    <col min="8969" max="8969" width="10.5703125" style="5"/>
    <col min="8970" max="8971" width="12" style="5" customWidth="1"/>
    <col min="8972" max="9212" width="10.5703125" style="5"/>
    <col min="9213" max="9213" width="13.5703125" style="5" customWidth="1"/>
    <col min="9214" max="9214" width="14.7109375" style="5" customWidth="1"/>
    <col min="9215" max="9215" width="11.28515625" style="5" customWidth="1"/>
    <col min="9216" max="9216" width="8" style="5" customWidth="1"/>
    <col min="9217" max="9217" width="12.140625" style="5" customWidth="1"/>
    <col min="9218" max="9218" width="10.140625" style="5" customWidth="1"/>
    <col min="9219" max="9219" width="17.5703125" style="5" bestFit="1" customWidth="1"/>
    <col min="9220" max="9220" width="11.85546875" style="5" bestFit="1" customWidth="1"/>
    <col min="9221" max="9221" width="10.42578125" style="5" customWidth="1"/>
    <col min="9222" max="9222" width="12.85546875" style="5" customWidth="1"/>
    <col min="9223" max="9223" width="47.5703125" style="5" customWidth="1"/>
    <col min="9224" max="9224" width="12.42578125" style="5" customWidth="1"/>
    <col min="9225" max="9225" width="10.5703125" style="5"/>
    <col min="9226" max="9227" width="12" style="5" customWidth="1"/>
    <col min="9228" max="9468" width="10.5703125" style="5"/>
    <col min="9469" max="9469" width="13.5703125" style="5" customWidth="1"/>
    <col min="9470" max="9470" width="14.7109375" style="5" customWidth="1"/>
    <col min="9471" max="9471" width="11.28515625" style="5" customWidth="1"/>
    <col min="9472" max="9472" width="8" style="5" customWidth="1"/>
    <col min="9473" max="9473" width="12.140625" style="5" customWidth="1"/>
    <col min="9474" max="9474" width="10.140625" style="5" customWidth="1"/>
    <col min="9475" max="9475" width="17.5703125" style="5" bestFit="1" customWidth="1"/>
    <col min="9476" max="9476" width="11.85546875" style="5" bestFit="1" customWidth="1"/>
    <col min="9477" max="9477" width="10.42578125" style="5" customWidth="1"/>
    <col min="9478" max="9478" width="12.85546875" style="5" customWidth="1"/>
    <col min="9479" max="9479" width="47.5703125" style="5" customWidth="1"/>
    <col min="9480" max="9480" width="12.42578125" style="5" customWidth="1"/>
    <col min="9481" max="9481" width="10.5703125" style="5"/>
    <col min="9482" max="9483" width="12" style="5" customWidth="1"/>
    <col min="9484" max="9724" width="10.5703125" style="5"/>
    <col min="9725" max="9725" width="13.5703125" style="5" customWidth="1"/>
    <col min="9726" max="9726" width="14.7109375" style="5" customWidth="1"/>
    <col min="9727" max="9727" width="11.28515625" style="5" customWidth="1"/>
    <col min="9728" max="9728" width="8" style="5" customWidth="1"/>
    <col min="9729" max="9729" width="12.140625" style="5" customWidth="1"/>
    <col min="9730" max="9730" width="10.140625" style="5" customWidth="1"/>
    <col min="9731" max="9731" width="17.5703125" style="5" bestFit="1" customWidth="1"/>
    <col min="9732" max="9732" width="11.85546875" style="5" bestFit="1" customWidth="1"/>
    <col min="9733" max="9733" width="10.42578125" style="5" customWidth="1"/>
    <col min="9734" max="9734" width="12.85546875" style="5" customWidth="1"/>
    <col min="9735" max="9735" width="47.5703125" style="5" customWidth="1"/>
    <col min="9736" max="9736" width="12.42578125" style="5" customWidth="1"/>
    <col min="9737" max="9737" width="10.5703125" style="5"/>
    <col min="9738" max="9739" width="12" style="5" customWidth="1"/>
    <col min="9740" max="9980" width="10.5703125" style="5"/>
    <col min="9981" max="9981" width="13.5703125" style="5" customWidth="1"/>
    <col min="9982" max="9982" width="14.7109375" style="5" customWidth="1"/>
    <col min="9983" max="9983" width="11.28515625" style="5" customWidth="1"/>
    <col min="9984" max="9984" width="8" style="5" customWidth="1"/>
    <col min="9985" max="9985" width="12.140625" style="5" customWidth="1"/>
    <col min="9986" max="9986" width="10.140625" style="5" customWidth="1"/>
    <col min="9987" max="9987" width="17.5703125" style="5" bestFit="1" customWidth="1"/>
    <col min="9988" max="9988" width="11.85546875" style="5" bestFit="1" customWidth="1"/>
    <col min="9989" max="9989" width="10.42578125" style="5" customWidth="1"/>
    <col min="9990" max="9990" width="12.85546875" style="5" customWidth="1"/>
    <col min="9991" max="9991" width="47.5703125" style="5" customWidth="1"/>
    <col min="9992" max="9992" width="12.42578125" style="5" customWidth="1"/>
    <col min="9993" max="9993" width="10.5703125" style="5"/>
    <col min="9994" max="9995" width="12" style="5" customWidth="1"/>
    <col min="9996" max="10236" width="10.5703125" style="5"/>
    <col min="10237" max="10237" width="13.5703125" style="5" customWidth="1"/>
    <col min="10238" max="10238" width="14.7109375" style="5" customWidth="1"/>
    <col min="10239" max="10239" width="11.28515625" style="5" customWidth="1"/>
    <col min="10240" max="10240" width="8" style="5" customWidth="1"/>
    <col min="10241" max="10241" width="12.140625" style="5" customWidth="1"/>
    <col min="10242" max="10242" width="10.140625" style="5" customWidth="1"/>
    <col min="10243" max="10243" width="17.5703125" style="5" bestFit="1" customWidth="1"/>
    <col min="10244" max="10244" width="11.85546875" style="5" bestFit="1" customWidth="1"/>
    <col min="10245" max="10245" width="10.42578125" style="5" customWidth="1"/>
    <col min="10246" max="10246" width="12.85546875" style="5" customWidth="1"/>
    <col min="10247" max="10247" width="47.5703125" style="5" customWidth="1"/>
    <col min="10248" max="10248" width="12.42578125" style="5" customWidth="1"/>
    <col min="10249" max="10249" width="10.5703125" style="5"/>
    <col min="10250" max="10251" width="12" style="5" customWidth="1"/>
    <col min="10252" max="10492" width="10.5703125" style="5"/>
    <col min="10493" max="10493" width="13.5703125" style="5" customWidth="1"/>
    <col min="10494" max="10494" width="14.7109375" style="5" customWidth="1"/>
    <col min="10495" max="10495" width="11.28515625" style="5" customWidth="1"/>
    <col min="10496" max="10496" width="8" style="5" customWidth="1"/>
    <col min="10497" max="10497" width="12.140625" style="5" customWidth="1"/>
    <col min="10498" max="10498" width="10.140625" style="5" customWidth="1"/>
    <col min="10499" max="10499" width="17.5703125" style="5" bestFit="1" customWidth="1"/>
    <col min="10500" max="10500" width="11.85546875" style="5" bestFit="1" customWidth="1"/>
    <col min="10501" max="10501" width="10.42578125" style="5" customWidth="1"/>
    <col min="10502" max="10502" width="12.85546875" style="5" customWidth="1"/>
    <col min="10503" max="10503" width="47.5703125" style="5" customWidth="1"/>
    <col min="10504" max="10504" width="12.42578125" style="5" customWidth="1"/>
    <col min="10505" max="10505" width="10.5703125" style="5"/>
    <col min="10506" max="10507" width="12" style="5" customWidth="1"/>
    <col min="10508" max="10748" width="10.5703125" style="5"/>
    <col min="10749" max="10749" width="13.5703125" style="5" customWidth="1"/>
    <col min="10750" max="10750" width="14.7109375" style="5" customWidth="1"/>
    <col min="10751" max="10751" width="11.28515625" style="5" customWidth="1"/>
    <col min="10752" max="10752" width="8" style="5" customWidth="1"/>
    <col min="10753" max="10753" width="12.140625" style="5" customWidth="1"/>
    <col min="10754" max="10754" width="10.140625" style="5" customWidth="1"/>
    <col min="10755" max="10755" width="17.5703125" style="5" bestFit="1" customWidth="1"/>
    <col min="10756" max="10756" width="11.85546875" style="5" bestFit="1" customWidth="1"/>
    <col min="10757" max="10757" width="10.42578125" style="5" customWidth="1"/>
    <col min="10758" max="10758" width="12.85546875" style="5" customWidth="1"/>
    <col min="10759" max="10759" width="47.5703125" style="5" customWidth="1"/>
    <col min="10760" max="10760" width="12.42578125" style="5" customWidth="1"/>
    <col min="10761" max="10761" width="10.5703125" style="5"/>
    <col min="10762" max="10763" width="12" style="5" customWidth="1"/>
    <col min="10764" max="11004" width="10.5703125" style="5"/>
    <col min="11005" max="11005" width="13.5703125" style="5" customWidth="1"/>
    <col min="11006" max="11006" width="14.7109375" style="5" customWidth="1"/>
    <col min="11007" max="11007" width="11.28515625" style="5" customWidth="1"/>
    <col min="11008" max="11008" width="8" style="5" customWidth="1"/>
    <col min="11009" max="11009" width="12.140625" style="5" customWidth="1"/>
    <col min="11010" max="11010" width="10.140625" style="5" customWidth="1"/>
    <col min="11011" max="11011" width="17.5703125" style="5" bestFit="1" customWidth="1"/>
    <col min="11012" max="11012" width="11.85546875" style="5" bestFit="1" customWidth="1"/>
    <col min="11013" max="11013" width="10.42578125" style="5" customWidth="1"/>
    <col min="11014" max="11014" width="12.85546875" style="5" customWidth="1"/>
    <col min="11015" max="11015" width="47.5703125" style="5" customWidth="1"/>
    <col min="11016" max="11016" width="12.42578125" style="5" customWidth="1"/>
    <col min="11017" max="11017" width="10.5703125" style="5"/>
    <col min="11018" max="11019" width="12" style="5" customWidth="1"/>
    <col min="11020" max="11260" width="10.5703125" style="5"/>
    <col min="11261" max="11261" width="13.5703125" style="5" customWidth="1"/>
    <col min="11262" max="11262" width="14.7109375" style="5" customWidth="1"/>
    <col min="11263" max="11263" width="11.28515625" style="5" customWidth="1"/>
    <col min="11264" max="11264" width="8" style="5" customWidth="1"/>
    <col min="11265" max="11265" width="12.140625" style="5" customWidth="1"/>
    <col min="11266" max="11266" width="10.140625" style="5" customWidth="1"/>
    <col min="11267" max="11267" width="17.5703125" style="5" bestFit="1" customWidth="1"/>
    <col min="11268" max="11268" width="11.85546875" style="5" bestFit="1" customWidth="1"/>
    <col min="11269" max="11269" width="10.42578125" style="5" customWidth="1"/>
    <col min="11270" max="11270" width="12.85546875" style="5" customWidth="1"/>
    <col min="11271" max="11271" width="47.5703125" style="5" customWidth="1"/>
    <col min="11272" max="11272" width="12.42578125" style="5" customWidth="1"/>
    <col min="11273" max="11273" width="10.5703125" style="5"/>
    <col min="11274" max="11275" width="12" style="5" customWidth="1"/>
    <col min="11276" max="11516" width="10.5703125" style="5"/>
    <col min="11517" max="11517" width="13.5703125" style="5" customWidth="1"/>
    <col min="11518" max="11518" width="14.7109375" style="5" customWidth="1"/>
    <col min="11519" max="11519" width="11.28515625" style="5" customWidth="1"/>
    <col min="11520" max="11520" width="8" style="5" customWidth="1"/>
    <col min="11521" max="11521" width="12.140625" style="5" customWidth="1"/>
    <col min="11522" max="11522" width="10.140625" style="5" customWidth="1"/>
    <col min="11523" max="11523" width="17.5703125" style="5" bestFit="1" customWidth="1"/>
    <col min="11524" max="11524" width="11.85546875" style="5" bestFit="1" customWidth="1"/>
    <col min="11525" max="11525" width="10.42578125" style="5" customWidth="1"/>
    <col min="11526" max="11526" width="12.85546875" style="5" customWidth="1"/>
    <col min="11527" max="11527" width="47.5703125" style="5" customWidth="1"/>
    <col min="11528" max="11528" width="12.42578125" style="5" customWidth="1"/>
    <col min="11529" max="11529" width="10.5703125" style="5"/>
    <col min="11530" max="11531" width="12" style="5" customWidth="1"/>
    <col min="11532" max="11772" width="10.5703125" style="5"/>
    <col min="11773" max="11773" width="13.5703125" style="5" customWidth="1"/>
    <col min="11774" max="11774" width="14.7109375" style="5" customWidth="1"/>
    <col min="11775" max="11775" width="11.28515625" style="5" customWidth="1"/>
    <col min="11776" max="11776" width="8" style="5" customWidth="1"/>
    <col min="11777" max="11777" width="12.140625" style="5" customWidth="1"/>
    <col min="11778" max="11778" width="10.140625" style="5" customWidth="1"/>
    <col min="11779" max="11779" width="17.5703125" style="5" bestFit="1" customWidth="1"/>
    <col min="11780" max="11780" width="11.85546875" style="5" bestFit="1" customWidth="1"/>
    <col min="11781" max="11781" width="10.42578125" style="5" customWidth="1"/>
    <col min="11782" max="11782" width="12.85546875" style="5" customWidth="1"/>
    <col min="11783" max="11783" width="47.5703125" style="5" customWidth="1"/>
    <col min="11784" max="11784" width="12.42578125" style="5" customWidth="1"/>
    <col min="11785" max="11785" width="10.5703125" style="5"/>
    <col min="11786" max="11787" width="12" style="5" customWidth="1"/>
    <col min="11788" max="12028" width="10.5703125" style="5"/>
    <col min="12029" max="12029" width="13.5703125" style="5" customWidth="1"/>
    <col min="12030" max="12030" width="14.7109375" style="5" customWidth="1"/>
    <col min="12031" max="12031" width="11.28515625" style="5" customWidth="1"/>
    <col min="12032" max="12032" width="8" style="5" customWidth="1"/>
    <col min="12033" max="12033" width="12.140625" style="5" customWidth="1"/>
    <col min="12034" max="12034" width="10.140625" style="5" customWidth="1"/>
    <col min="12035" max="12035" width="17.5703125" style="5" bestFit="1" customWidth="1"/>
    <col min="12036" max="12036" width="11.85546875" style="5" bestFit="1" customWidth="1"/>
    <col min="12037" max="12037" width="10.42578125" style="5" customWidth="1"/>
    <col min="12038" max="12038" width="12.85546875" style="5" customWidth="1"/>
    <col min="12039" max="12039" width="47.5703125" style="5" customWidth="1"/>
    <col min="12040" max="12040" width="12.42578125" style="5" customWidth="1"/>
    <col min="12041" max="12041" width="10.5703125" style="5"/>
    <col min="12042" max="12043" width="12" style="5" customWidth="1"/>
    <col min="12044" max="12284" width="10.5703125" style="5"/>
    <col min="12285" max="12285" width="13.5703125" style="5" customWidth="1"/>
    <col min="12286" max="12286" width="14.7109375" style="5" customWidth="1"/>
    <col min="12287" max="12287" width="11.28515625" style="5" customWidth="1"/>
    <col min="12288" max="12288" width="8" style="5" customWidth="1"/>
    <col min="12289" max="12289" width="12.140625" style="5" customWidth="1"/>
    <col min="12290" max="12290" width="10.140625" style="5" customWidth="1"/>
    <col min="12291" max="12291" width="17.5703125" style="5" bestFit="1" customWidth="1"/>
    <col min="12292" max="12292" width="11.85546875" style="5" bestFit="1" customWidth="1"/>
    <col min="12293" max="12293" width="10.42578125" style="5" customWidth="1"/>
    <col min="12294" max="12294" width="12.85546875" style="5" customWidth="1"/>
    <col min="12295" max="12295" width="47.5703125" style="5" customWidth="1"/>
    <col min="12296" max="12296" width="12.42578125" style="5" customWidth="1"/>
    <col min="12297" max="12297" width="10.5703125" style="5"/>
    <col min="12298" max="12299" width="12" style="5" customWidth="1"/>
    <col min="12300" max="12540" width="10.5703125" style="5"/>
    <col min="12541" max="12541" width="13.5703125" style="5" customWidth="1"/>
    <col min="12542" max="12542" width="14.7109375" style="5" customWidth="1"/>
    <col min="12543" max="12543" width="11.28515625" style="5" customWidth="1"/>
    <col min="12544" max="12544" width="8" style="5" customWidth="1"/>
    <col min="12545" max="12545" width="12.140625" style="5" customWidth="1"/>
    <col min="12546" max="12546" width="10.140625" style="5" customWidth="1"/>
    <col min="12547" max="12547" width="17.5703125" style="5" bestFit="1" customWidth="1"/>
    <col min="12548" max="12548" width="11.85546875" style="5" bestFit="1" customWidth="1"/>
    <col min="12549" max="12549" width="10.42578125" style="5" customWidth="1"/>
    <col min="12550" max="12550" width="12.85546875" style="5" customWidth="1"/>
    <col min="12551" max="12551" width="47.5703125" style="5" customWidth="1"/>
    <col min="12552" max="12552" width="12.42578125" style="5" customWidth="1"/>
    <col min="12553" max="12553" width="10.5703125" style="5"/>
    <col min="12554" max="12555" width="12" style="5" customWidth="1"/>
    <col min="12556" max="12796" width="10.5703125" style="5"/>
    <col min="12797" max="12797" width="13.5703125" style="5" customWidth="1"/>
    <col min="12798" max="12798" width="14.7109375" style="5" customWidth="1"/>
    <col min="12799" max="12799" width="11.28515625" style="5" customWidth="1"/>
    <col min="12800" max="12800" width="8" style="5" customWidth="1"/>
    <col min="12801" max="12801" width="12.140625" style="5" customWidth="1"/>
    <col min="12802" max="12802" width="10.140625" style="5" customWidth="1"/>
    <col min="12803" max="12803" width="17.5703125" style="5" bestFit="1" customWidth="1"/>
    <col min="12804" max="12804" width="11.85546875" style="5" bestFit="1" customWidth="1"/>
    <col min="12805" max="12805" width="10.42578125" style="5" customWidth="1"/>
    <col min="12806" max="12806" width="12.85546875" style="5" customWidth="1"/>
    <col min="12807" max="12807" width="47.5703125" style="5" customWidth="1"/>
    <col min="12808" max="12808" width="12.42578125" style="5" customWidth="1"/>
    <col min="12809" max="12809" width="10.5703125" style="5"/>
    <col min="12810" max="12811" width="12" style="5" customWidth="1"/>
    <col min="12812" max="13052" width="10.5703125" style="5"/>
    <col min="13053" max="13053" width="13.5703125" style="5" customWidth="1"/>
    <col min="13054" max="13054" width="14.7109375" style="5" customWidth="1"/>
    <col min="13055" max="13055" width="11.28515625" style="5" customWidth="1"/>
    <col min="13056" max="13056" width="8" style="5" customWidth="1"/>
    <col min="13057" max="13057" width="12.140625" style="5" customWidth="1"/>
    <col min="13058" max="13058" width="10.140625" style="5" customWidth="1"/>
    <col min="13059" max="13059" width="17.5703125" style="5" bestFit="1" customWidth="1"/>
    <col min="13060" max="13060" width="11.85546875" style="5" bestFit="1" customWidth="1"/>
    <col min="13061" max="13061" width="10.42578125" style="5" customWidth="1"/>
    <col min="13062" max="13062" width="12.85546875" style="5" customWidth="1"/>
    <col min="13063" max="13063" width="47.5703125" style="5" customWidth="1"/>
    <col min="13064" max="13064" width="12.42578125" style="5" customWidth="1"/>
    <col min="13065" max="13065" width="10.5703125" style="5"/>
    <col min="13066" max="13067" width="12" style="5" customWidth="1"/>
    <col min="13068" max="13308" width="10.5703125" style="5"/>
    <col min="13309" max="13309" width="13.5703125" style="5" customWidth="1"/>
    <col min="13310" max="13310" width="14.7109375" style="5" customWidth="1"/>
    <col min="13311" max="13311" width="11.28515625" style="5" customWidth="1"/>
    <col min="13312" max="13312" width="8" style="5" customWidth="1"/>
    <col min="13313" max="13313" width="12.140625" style="5" customWidth="1"/>
    <col min="13314" max="13314" width="10.140625" style="5" customWidth="1"/>
    <col min="13315" max="13315" width="17.5703125" style="5" bestFit="1" customWidth="1"/>
    <col min="13316" max="13316" width="11.85546875" style="5" bestFit="1" customWidth="1"/>
    <col min="13317" max="13317" width="10.42578125" style="5" customWidth="1"/>
    <col min="13318" max="13318" width="12.85546875" style="5" customWidth="1"/>
    <col min="13319" max="13319" width="47.5703125" style="5" customWidth="1"/>
    <col min="13320" max="13320" width="12.42578125" style="5" customWidth="1"/>
    <col min="13321" max="13321" width="10.5703125" style="5"/>
    <col min="13322" max="13323" width="12" style="5" customWidth="1"/>
    <col min="13324" max="13564" width="10.5703125" style="5"/>
    <col min="13565" max="13565" width="13.5703125" style="5" customWidth="1"/>
    <col min="13566" max="13566" width="14.7109375" style="5" customWidth="1"/>
    <col min="13567" max="13567" width="11.28515625" style="5" customWidth="1"/>
    <col min="13568" max="13568" width="8" style="5" customWidth="1"/>
    <col min="13569" max="13569" width="12.140625" style="5" customWidth="1"/>
    <col min="13570" max="13570" width="10.140625" style="5" customWidth="1"/>
    <col min="13571" max="13571" width="17.5703125" style="5" bestFit="1" customWidth="1"/>
    <col min="13572" max="13572" width="11.85546875" style="5" bestFit="1" customWidth="1"/>
    <col min="13573" max="13573" width="10.42578125" style="5" customWidth="1"/>
    <col min="13574" max="13574" width="12.85546875" style="5" customWidth="1"/>
    <col min="13575" max="13575" width="47.5703125" style="5" customWidth="1"/>
    <col min="13576" max="13576" width="12.42578125" style="5" customWidth="1"/>
    <col min="13577" max="13577" width="10.5703125" style="5"/>
    <col min="13578" max="13579" width="12" style="5" customWidth="1"/>
    <col min="13580" max="13820" width="10.5703125" style="5"/>
    <col min="13821" max="13821" width="13.5703125" style="5" customWidth="1"/>
    <col min="13822" max="13822" width="14.7109375" style="5" customWidth="1"/>
    <col min="13823" max="13823" width="11.28515625" style="5" customWidth="1"/>
    <col min="13824" max="13824" width="8" style="5" customWidth="1"/>
    <col min="13825" max="13825" width="12.140625" style="5" customWidth="1"/>
    <col min="13826" max="13826" width="10.140625" style="5" customWidth="1"/>
    <col min="13827" max="13827" width="17.5703125" style="5" bestFit="1" customWidth="1"/>
    <col min="13828" max="13828" width="11.85546875" style="5" bestFit="1" customWidth="1"/>
    <col min="13829" max="13829" width="10.42578125" style="5" customWidth="1"/>
    <col min="13830" max="13830" width="12.85546875" style="5" customWidth="1"/>
    <col min="13831" max="13831" width="47.5703125" style="5" customWidth="1"/>
    <col min="13832" max="13832" width="12.42578125" style="5" customWidth="1"/>
    <col min="13833" max="13833" width="10.5703125" style="5"/>
    <col min="13834" max="13835" width="12" style="5" customWidth="1"/>
    <col min="13836" max="14076" width="10.5703125" style="5"/>
    <col min="14077" max="14077" width="13.5703125" style="5" customWidth="1"/>
    <col min="14078" max="14078" width="14.7109375" style="5" customWidth="1"/>
    <col min="14079" max="14079" width="11.28515625" style="5" customWidth="1"/>
    <col min="14080" max="14080" width="8" style="5" customWidth="1"/>
    <col min="14081" max="14081" width="12.140625" style="5" customWidth="1"/>
    <col min="14082" max="14082" width="10.140625" style="5" customWidth="1"/>
    <col min="14083" max="14083" width="17.5703125" style="5" bestFit="1" customWidth="1"/>
    <col min="14084" max="14084" width="11.85546875" style="5" bestFit="1" customWidth="1"/>
    <col min="14085" max="14085" width="10.42578125" style="5" customWidth="1"/>
    <col min="14086" max="14086" width="12.85546875" style="5" customWidth="1"/>
    <col min="14087" max="14087" width="47.5703125" style="5" customWidth="1"/>
    <col min="14088" max="14088" width="12.42578125" style="5" customWidth="1"/>
    <col min="14089" max="14089" width="10.5703125" style="5"/>
    <col min="14090" max="14091" width="12" style="5" customWidth="1"/>
    <col min="14092" max="14332" width="10.5703125" style="5"/>
    <col min="14333" max="14333" width="13.5703125" style="5" customWidth="1"/>
    <col min="14334" max="14334" width="14.7109375" style="5" customWidth="1"/>
    <col min="14335" max="14335" width="11.28515625" style="5" customWidth="1"/>
    <col min="14336" max="14336" width="8" style="5" customWidth="1"/>
    <col min="14337" max="14337" width="12.140625" style="5" customWidth="1"/>
    <col min="14338" max="14338" width="10.140625" style="5" customWidth="1"/>
    <col min="14339" max="14339" width="17.5703125" style="5" bestFit="1" customWidth="1"/>
    <col min="14340" max="14340" width="11.85546875" style="5" bestFit="1" customWidth="1"/>
    <col min="14341" max="14341" width="10.42578125" style="5" customWidth="1"/>
    <col min="14342" max="14342" width="12.85546875" style="5" customWidth="1"/>
    <col min="14343" max="14343" width="47.5703125" style="5" customWidth="1"/>
    <col min="14344" max="14344" width="12.42578125" style="5" customWidth="1"/>
    <col min="14345" max="14345" width="10.5703125" style="5"/>
    <col min="14346" max="14347" width="12" style="5" customWidth="1"/>
    <col min="14348" max="14588" width="10.5703125" style="5"/>
    <col min="14589" max="14589" width="13.5703125" style="5" customWidth="1"/>
    <col min="14590" max="14590" width="14.7109375" style="5" customWidth="1"/>
    <col min="14591" max="14591" width="11.28515625" style="5" customWidth="1"/>
    <col min="14592" max="14592" width="8" style="5" customWidth="1"/>
    <col min="14593" max="14593" width="12.140625" style="5" customWidth="1"/>
    <col min="14594" max="14594" width="10.140625" style="5" customWidth="1"/>
    <col min="14595" max="14595" width="17.5703125" style="5" bestFit="1" customWidth="1"/>
    <col min="14596" max="14596" width="11.85546875" style="5" bestFit="1" customWidth="1"/>
    <col min="14597" max="14597" width="10.42578125" style="5" customWidth="1"/>
    <col min="14598" max="14598" width="12.85546875" style="5" customWidth="1"/>
    <col min="14599" max="14599" width="47.5703125" style="5" customWidth="1"/>
    <col min="14600" max="14600" width="12.42578125" style="5" customWidth="1"/>
    <col min="14601" max="14601" width="10.5703125" style="5"/>
    <col min="14602" max="14603" width="12" style="5" customWidth="1"/>
    <col min="14604" max="14844" width="10.5703125" style="5"/>
    <col min="14845" max="14845" width="13.5703125" style="5" customWidth="1"/>
    <col min="14846" max="14846" width="14.7109375" style="5" customWidth="1"/>
    <col min="14847" max="14847" width="11.28515625" style="5" customWidth="1"/>
    <col min="14848" max="14848" width="8" style="5" customWidth="1"/>
    <col min="14849" max="14849" width="12.140625" style="5" customWidth="1"/>
    <col min="14850" max="14850" width="10.140625" style="5" customWidth="1"/>
    <col min="14851" max="14851" width="17.5703125" style="5" bestFit="1" customWidth="1"/>
    <col min="14852" max="14852" width="11.85546875" style="5" bestFit="1" customWidth="1"/>
    <col min="14853" max="14853" width="10.42578125" style="5" customWidth="1"/>
    <col min="14854" max="14854" width="12.85546875" style="5" customWidth="1"/>
    <col min="14855" max="14855" width="47.5703125" style="5" customWidth="1"/>
    <col min="14856" max="14856" width="12.42578125" style="5" customWidth="1"/>
    <col min="14857" max="14857" width="10.5703125" style="5"/>
    <col min="14858" max="14859" width="12" style="5" customWidth="1"/>
    <col min="14860" max="15100" width="10.5703125" style="5"/>
    <col min="15101" max="15101" width="13.5703125" style="5" customWidth="1"/>
    <col min="15102" max="15102" width="14.7109375" style="5" customWidth="1"/>
    <col min="15103" max="15103" width="11.28515625" style="5" customWidth="1"/>
    <col min="15104" max="15104" width="8" style="5" customWidth="1"/>
    <col min="15105" max="15105" width="12.140625" style="5" customWidth="1"/>
    <col min="15106" max="15106" width="10.140625" style="5" customWidth="1"/>
    <col min="15107" max="15107" width="17.5703125" style="5" bestFit="1" customWidth="1"/>
    <col min="15108" max="15108" width="11.85546875" style="5" bestFit="1" customWidth="1"/>
    <col min="15109" max="15109" width="10.42578125" style="5" customWidth="1"/>
    <col min="15110" max="15110" width="12.85546875" style="5" customWidth="1"/>
    <col min="15111" max="15111" width="47.5703125" style="5" customWidth="1"/>
    <col min="15112" max="15112" width="12.42578125" style="5" customWidth="1"/>
    <col min="15113" max="15113" width="10.5703125" style="5"/>
    <col min="15114" max="15115" width="12" style="5" customWidth="1"/>
    <col min="15116" max="15356" width="10.5703125" style="5"/>
    <col min="15357" max="15357" width="13.5703125" style="5" customWidth="1"/>
    <col min="15358" max="15358" width="14.7109375" style="5" customWidth="1"/>
    <col min="15359" max="15359" width="11.28515625" style="5" customWidth="1"/>
    <col min="15360" max="15360" width="8" style="5" customWidth="1"/>
    <col min="15361" max="15361" width="12.140625" style="5" customWidth="1"/>
    <col min="15362" max="15362" width="10.140625" style="5" customWidth="1"/>
    <col min="15363" max="15363" width="17.5703125" style="5" bestFit="1" customWidth="1"/>
    <col min="15364" max="15364" width="11.85546875" style="5" bestFit="1" customWidth="1"/>
    <col min="15365" max="15365" width="10.42578125" style="5" customWidth="1"/>
    <col min="15366" max="15366" width="12.85546875" style="5" customWidth="1"/>
    <col min="15367" max="15367" width="47.5703125" style="5" customWidth="1"/>
    <col min="15368" max="15368" width="12.42578125" style="5" customWidth="1"/>
    <col min="15369" max="15369" width="10.5703125" style="5"/>
    <col min="15370" max="15371" width="12" style="5" customWidth="1"/>
    <col min="15372" max="15612" width="10.5703125" style="5"/>
    <col min="15613" max="15613" width="13.5703125" style="5" customWidth="1"/>
    <col min="15614" max="15614" width="14.7109375" style="5" customWidth="1"/>
    <col min="15615" max="15615" width="11.28515625" style="5" customWidth="1"/>
    <col min="15616" max="15616" width="8" style="5" customWidth="1"/>
    <col min="15617" max="15617" width="12.140625" style="5" customWidth="1"/>
    <col min="15618" max="15618" width="10.140625" style="5" customWidth="1"/>
    <col min="15619" max="15619" width="17.5703125" style="5" bestFit="1" customWidth="1"/>
    <col min="15620" max="15620" width="11.85546875" style="5" bestFit="1" customWidth="1"/>
    <col min="15621" max="15621" width="10.42578125" style="5" customWidth="1"/>
    <col min="15622" max="15622" width="12.85546875" style="5" customWidth="1"/>
    <col min="15623" max="15623" width="47.5703125" style="5" customWidth="1"/>
    <col min="15624" max="15624" width="12.42578125" style="5" customWidth="1"/>
    <col min="15625" max="15625" width="10.5703125" style="5"/>
    <col min="15626" max="15627" width="12" style="5" customWidth="1"/>
    <col min="15628" max="15868" width="10.5703125" style="5"/>
    <col min="15869" max="15869" width="13.5703125" style="5" customWidth="1"/>
    <col min="15870" max="15870" width="14.7109375" style="5" customWidth="1"/>
    <col min="15871" max="15871" width="11.28515625" style="5" customWidth="1"/>
    <col min="15872" max="15872" width="8" style="5" customWidth="1"/>
    <col min="15873" max="15873" width="12.140625" style="5" customWidth="1"/>
    <col min="15874" max="15874" width="10.140625" style="5" customWidth="1"/>
    <col min="15875" max="15875" width="17.5703125" style="5" bestFit="1" customWidth="1"/>
    <col min="15876" max="15876" width="11.85546875" style="5" bestFit="1" customWidth="1"/>
    <col min="15877" max="15877" width="10.42578125" style="5" customWidth="1"/>
    <col min="15878" max="15878" width="12.85546875" style="5" customWidth="1"/>
    <col min="15879" max="15879" width="47.5703125" style="5" customWidth="1"/>
    <col min="15880" max="15880" width="12.42578125" style="5" customWidth="1"/>
    <col min="15881" max="15881" width="10.5703125" style="5"/>
    <col min="15882" max="15883" width="12" style="5" customWidth="1"/>
    <col min="15884" max="16124" width="10.5703125" style="5"/>
    <col min="16125" max="16125" width="13.5703125" style="5" customWidth="1"/>
    <col min="16126" max="16126" width="14.7109375" style="5" customWidth="1"/>
    <col min="16127" max="16127" width="11.28515625" style="5" customWidth="1"/>
    <col min="16128" max="16128" width="8" style="5" customWidth="1"/>
    <col min="16129" max="16129" width="12.140625" style="5" customWidth="1"/>
    <col min="16130" max="16130" width="10.140625" style="5" customWidth="1"/>
    <col min="16131" max="16131" width="17.5703125" style="5" bestFit="1" customWidth="1"/>
    <col min="16132" max="16132" width="11.85546875" style="5" bestFit="1" customWidth="1"/>
    <col min="16133" max="16133" width="10.42578125" style="5" customWidth="1"/>
    <col min="16134" max="16134" width="12.85546875" style="5" customWidth="1"/>
    <col min="16135" max="16135" width="47.5703125" style="5" customWidth="1"/>
    <col min="16136" max="16136" width="12.42578125" style="5" customWidth="1"/>
    <col min="16137" max="16137" width="10.5703125" style="5"/>
    <col min="16138" max="16139" width="12" style="5" customWidth="1"/>
    <col min="16140" max="16384" width="10.5703125" style="5"/>
  </cols>
  <sheetData>
    <row r="1" spans="1:11" s="2" customFormat="1" ht="27.75" customHeight="1" x14ac:dyDescent="0.25">
      <c r="A1" s="1" t="s">
        <v>78</v>
      </c>
      <c r="B1" s="3"/>
      <c r="C1" s="3"/>
      <c r="D1" s="3"/>
      <c r="E1" s="3"/>
      <c r="F1" s="3"/>
      <c r="G1" s="3"/>
      <c r="H1" s="2" t="s">
        <v>79</v>
      </c>
      <c r="I1" s="3"/>
      <c r="J1" s="3"/>
      <c r="K1" s="4">
        <v>46098</v>
      </c>
    </row>
    <row r="2" spans="1:11" ht="21.75" customHeight="1" x14ac:dyDescent="0.2">
      <c r="H2" s="7" t="s">
        <v>80</v>
      </c>
    </row>
    <row r="3" spans="1:11" s="2" customFormat="1" ht="21.75" customHeight="1" x14ac:dyDescent="0.25">
      <c r="A3" s="8" t="s">
        <v>81</v>
      </c>
      <c r="B3" s="3"/>
      <c r="C3" s="3"/>
      <c r="D3" s="3"/>
      <c r="E3" s="3"/>
      <c r="F3" s="3"/>
      <c r="G3" s="3"/>
      <c r="H3" s="9" t="s">
        <v>82</v>
      </c>
      <c r="I3" s="3"/>
      <c r="J3" s="3"/>
      <c r="K3" s="3"/>
    </row>
    <row r="4" spans="1:11" ht="15" customHeight="1" x14ac:dyDescent="0.2"/>
    <row r="5" spans="1:11" s="2" customFormat="1" ht="21.75" customHeight="1" x14ac:dyDescent="0.25">
      <c r="A5" s="8" t="s">
        <v>83</v>
      </c>
      <c r="B5" s="3"/>
      <c r="C5" s="3"/>
      <c r="D5" s="3"/>
      <c r="E5" s="3"/>
      <c r="F5" s="3"/>
      <c r="G5" s="3"/>
      <c r="I5" s="3"/>
      <c r="J5" s="3"/>
      <c r="K5" s="3"/>
    </row>
    <row r="6" spans="1:11" ht="15" customHeight="1" x14ac:dyDescent="0.2"/>
    <row r="7" spans="1:11" ht="15" customHeight="1" x14ac:dyDescent="0.2">
      <c r="B7" s="136" t="s">
        <v>84</v>
      </c>
      <c r="C7" s="137"/>
      <c r="D7" s="138"/>
      <c r="E7" s="139" t="s">
        <v>85</v>
      </c>
      <c r="F7" s="140"/>
      <c r="G7" s="137" t="s">
        <v>86</v>
      </c>
      <c r="H7" s="137"/>
      <c r="I7" s="138"/>
      <c r="J7" s="141" t="s">
        <v>87</v>
      </c>
      <c r="K7" s="141"/>
    </row>
    <row r="8" spans="1:11" ht="15" customHeight="1" x14ac:dyDescent="0.2">
      <c r="B8" s="99"/>
      <c r="C8" s="100"/>
      <c r="D8" s="101"/>
      <c r="G8" s="99"/>
      <c r="H8" s="104"/>
      <c r="I8" s="101"/>
    </row>
    <row r="9" spans="1:11" ht="15" customHeight="1" thickBot="1" x14ac:dyDescent="0.25">
      <c r="A9" s="12" t="s">
        <v>88</v>
      </c>
      <c r="B9" s="13" t="s">
        <v>1</v>
      </c>
      <c r="C9" s="14" t="s">
        <v>89</v>
      </c>
      <c r="D9" s="15" t="s">
        <v>90</v>
      </c>
      <c r="E9" s="10" t="s">
        <v>1</v>
      </c>
      <c r="F9" s="10" t="s">
        <v>90</v>
      </c>
      <c r="G9" s="16" t="s">
        <v>1</v>
      </c>
      <c r="H9" s="17" t="s">
        <v>91</v>
      </c>
      <c r="I9" s="15" t="s">
        <v>90</v>
      </c>
      <c r="J9" s="10" t="s">
        <v>90</v>
      </c>
      <c r="K9" s="10"/>
    </row>
    <row r="10" spans="1:11" ht="15" customHeight="1" thickTop="1" x14ac:dyDescent="0.2">
      <c r="A10" s="18"/>
      <c r="B10" s="21"/>
      <c r="C10" s="19"/>
      <c r="D10" s="77"/>
      <c r="E10" s="19"/>
      <c r="F10" s="20"/>
      <c r="G10" s="86"/>
      <c r="H10" s="18"/>
      <c r="I10" s="77"/>
      <c r="J10" s="19"/>
      <c r="K10" s="19"/>
    </row>
    <row r="11" spans="1:11" ht="15" customHeight="1" x14ac:dyDescent="0.2">
      <c r="A11" s="5" t="s">
        <v>92</v>
      </c>
      <c r="B11" s="11"/>
      <c r="D11" s="78">
        <f>ROUND(C11*800,-3)</f>
        <v>0</v>
      </c>
      <c r="E11" s="96" t="s">
        <v>93</v>
      </c>
      <c r="F11" s="102">
        <v>200000</v>
      </c>
      <c r="G11" s="33"/>
      <c r="H11" s="87"/>
      <c r="I11" s="78">
        <v>0</v>
      </c>
      <c r="J11" s="85">
        <f>I11+D11+F11</f>
        <v>200000</v>
      </c>
      <c r="K11" s="22"/>
    </row>
    <row r="12" spans="1:11" ht="15" customHeight="1" x14ac:dyDescent="0.2">
      <c r="B12" s="11"/>
      <c r="D12" s="78"/>
      <c r="E12" s="10"/>
      <c r="F12" s="22"/>
      <c r="G12" s="33"/>
      <c r="I12" s="78"/>
      <c r="J12" s="22"/>
      <c r="K12" s="22"/>
    </row>
    <row r="13" spans="1:11" ht="15" customHeight="1" x14ac:dyDescent="0.2">
      <c r="A13" s="24" t="s">
        <v>94</v>
      </c>
      <c r="B13" s="11"/>
      <c r="D13" s="78">
        <f>ROUND(C13*800,-3)</f>
        <v>0</v>
      </c>
      <c r="E13" s="97">
        <v>9.6</v>
      </c>
      <c r="F13" s="103">
        <v>300000</v>
      </c>
      <c r="G13" s="11"/>
      <c r="H13" s="7" t="s">
        <v>95</v>
      </c>
      <c r="I13" s="88">
        <v>120000</v>
      </c>
      <c r="J13" s="22">
        <f>SUM(F13:F15)+I13</f>
        <v>1195000</v>
      </c>
      <c r="K13" s="22"/>
    </row>
    <row r="14" spans="1:11" ht="15" customHeight="1" x14ac:dyDescent="0.2">
      <c r="A14" s="24"/>
      <c r="B14" s="11"/>
      <c r="D14" s="78"/>
      <c r="E14" s="97">
        <v>22.6</v>
      </c>
      <c r="F14" s="103">
        <v>325000</v>
      </c>
      <c r="G14" s="11"/>
      <c r="I14" s="78"/>
      <c r="J14" s="22"/>
      <c r="K14" s="22"/>
    </row>
    <row r="15" spans="1:11" ht="15" customHeight="1" x14ac:dyDescent="0.2">
      <c r="A15" s="24"/>
      <c r="B15" s="11"/>
      <c r="D15" s="78"/>
      <c r="E15" s="97">
        <v>23.6</v>
      </c>
      <c r="F15" s="103">
        <v>450000</v>
      </c>
      <c r="G15" s="11"/>
      <c r="I15" s="78"/>
      <c r="J15" s="22"/>
      <c r="K15" s="22"/>
    </row>
    <row r="16" spans="1:11" ht="15" customHeight="1" x14ac:dyDescent="0.2">
      <c r="A16" s="24" t="s">
        <v>96</v>
      </c>
      <c r="B16" s="11"/>
      <c r="D16" s="78">
        <f>ROUND(C16*1200,-3)</f>
        <v>0</v>
      </c>
      <c r="E16" s="97">
        <v>31.3</v>
      </c>
      <c r="F16" s="103">
        <v>200000</v>
      </c>
      <c r="G16" s="79">
        <v>10.3</v>
      </c>
      <c r="H16" s="89" t="s">
        <v>97</v>
      </c>
      <c r="I16" s="81">
        <v>300000</v>
      </c>
      <c r="J16" s="22">
        <f>I16+D16+F16+I17+I18+F17</f>
        <v>1125000</v>
      </c>
      <c r="K16" s="22"/>
    </row>
    <row r="17" spans="1:11" ht="15" customHeight="1" x14ac:dyDescent="0.2">
      <c r="A17" s="24"/>
      <c r="B17" s="11"/>
      <c r="D17" s="78"/>
      <c r="E17" s="97">
        <v>31.8</v>
      </c>
      <c r="F17" s="103">
        <v>300000</v>
      </c>
      <c r="G17" s="79">
        <v>16.899999999999999</v>
      </c>
      <c r="H17" s="89" t="s">
        <v>98</v>
      </c>
      <c r="I17" s="81">
        <v>175000</v>
      </c>
      <c r="J17" s="22"/>
      <c r="K17" s="22"/>
    </row>
    <row r="18" spans="1:11" ht="15" customHeight="1" x14ac:dyDescent="0.2">
      <c r="A18" s="24"/>
      <c r="B18" s="11"/>
      <c r="D18" s="78"/>
      <c r="E18" s="10"/>
      <c r="F18" s="22"/>
      <c r="G18" s="90" t="s">
        <v>99</v>
      </c>
      <c r="H18" s="7" t="s">
        <v>100</v>
      </c>
      <c r="I18" s="88">
        <v>150000</v>
      </c>
      <c r="J18" s="22"/>
      <c r="K18" s="22"/>
    </row>
    <row r="19" spans="1:11" ht="15" customHeight="1" x14ac:dyDescent="0.2">
      <c r="A19" s="24"/>
      <c r="B19" s="11"/>
      <c r="D19" s="78"/>
      <c r="E19" s="10"/>
      <c r="F19" s="22"/>
      <c r="G19" s="11"/>
      <c r="I19" s="78"/>
      <c r="J19" s="22"/>
      <c r="K19" s="22"/>
    </row>
    <row r="20" spans="1:11" ht="15" customHeight="1" x14ac:dyDescent="0.2">
      <c r="A20" s="24" t="s">
        <v>101</v>
      </c>
      <c r="B20" s="79">
        <v>16.899999999999999</v>
      </c>
      <c r="C20" s="80">
        <v>884</v>
      </c>
      <c r="D20" s="81">
        <f>1000000</f>
        <v>1000000</v>
      </c>
      <c r="E20" s="10"/>
      <c r="F20" s="22"/>
      <c r="G20" s="79" t="s">
        <v>99</v>
      </c>
      <c r="H20" s="89" t="s">
        <v>102</v>
      </c>
      <c r="I20" s="91">
        <v>1500000</v>
      </c>
      <c r="J20" s="22">
        <f>D20+F20+I20</f>
        <v>2500000</v>
      </c>
      <c r="K20" s="22"/>
    </row>
    <row r="21" spans="1:11" ht="15" customHeight="1" x14ac:dyDescent="0.2">
      <c r="A21" s="24"/>
      <c r="B21" s="79"/>
      <c r="C21" s="80"/>
      <c r="D21" s="81"/>
      <c r="E21" s="10"/>
      <c r="F21" s="22"/>
      <c r="G21" s="11"/>
      <c r="I21" s="92"/>
      <c r="J21" s="22"/>
      <c r="K21" s="22"/>
    </row>
    <row r="22" spans="1:11" ht="15" customHeight="1" x14ac:dyDescent="0.2">
      <c r="A22" s="24"/>
      <c r="B22" s="79"/>
      <c r="C22" s="80"/>
      <c r="D22" s="81"/>
      <c r="E22" s="10"/>
      <c r="F22" s="22"/>
      <c r="G22" s="11"/>
      <c r="I22" s="78"/>
      <c r="J22" s="22"/>
      <c r="K22" s="22"/>
    </row>
    <row r="23" spans="1:11" ht="15" customHeight="1" x14ac:dyDescent="0.2">
      <c r="A23" s="24" t="s">
        <v>103</v>
      </c>
      <c r="B23" s="79">
        <v>28.8</v>
      </c>
      <c r="C23" s="80">
        <v>254</v>
      </c>
      <c r="D23" s="81">
        <f>C23*D37</f>
        <v>287330.31674208143</v>
      </c>
      <c r="E23" s="10"/>
      <c r="F23" s="22"/>
      <c r="G23" s="90">
        <v>15</v>
      </c>
      <c r="H23" s="7" t="s">
        <v>104</v>
      </c>
      <c r="I23" s="88">
        <v>190000</v>
      </c>
      <c r="J23" s="22">
        <f>D23+F23+I23+I24</f>
        <v>627330.31674208143</v>
      </c>
      <c r="K23" s="22"/>
    </row>
    <row r="24" spans="1:11" ht="15" customHeight="1" x14ac:dyDescent="0.2">
      <c r="A24" s="24"/>
      <c r="B24" s="11"/>
      <c r="D24" s="78"/>
      <c r="E24" s="10"/>
      <c r="F24" s="22"/>
      <c r="G24" s="90" t="s">
        <v>105</v>
      </c>
      <c r="H24" s="7" t="s">
        <v>106</v>
      </c>
      <c r="I24" s="88">
        <v>150000</v>
      </c>
      <c r="J24" s="22"/>
      <c r="K24" s="22"/>
    </row>
    <row r="25" spans="1:11" ht="15" customHeight="1" x14ac:dyDescent="0.2">
      <c r="A25" s="24"/>
      <c r="B25" s="11"/>
      <c r="D25" s="78"/>
      <c r="E25" s="10"/>
      <c r="F25" s="22"/>
      <c r="G25" s="11"/>
      <c r="I25" s="92"/>
      <c r="J25" s="22"/>
      <c r="K25" s="22"/>
    </row>
    <row r="26" spans="1:11" ht="15" customHeight="1" x14ac:dyDescent="0.2">
      <c r="A26" s="24" t="s">
        <v>107</v>
      </c>
      <c r="B26" s="11"/>
      <c r="D26" s="78">
        <f>ROUND(C26*800,-3)</f>
        <v>0</v>
      </c>
      <c r="E26" s="10"/>
      <c r="F26" s="22"/>
      <c r="G26" s="79" t="s">
        <v>105</v>
      </c>
      <c r="H26" s="89" t="s">
        <v>108</v>
      </c>
      <c r="I26" s="91">
        <v>1000000</v>
      </c>
      <c r="J26" s="22">
        <f>D26+F26+I26+I27</f>
        <v>6500000</v>
      </c>
      <c r="K26" s="22"/>
    </row>
    <row r="27" spans="1:11" ht="15" customHeight="1" thickBot="1" x14ac:dyDescent="0.25">
      <c r="B27" s="11"/>
      <c r="D27" s="78"/>
      <c r="E27" s="10"/>
      <c r="F27" s="22"/>
      <c r="G27" s="93">
        <v>15</v>
      </c>
      <c r="H27" s="25" t="s">
        <v>109</v>
      </c>
      <c r="I27" s="94">
        <v>5500000</v>
      </c>
      <c r="J27" s="22"/>
      <c r="K27" s="22"/>
    </row>
    <row r="28" spans="1:11" ht="15" customHeight="1" x14ac:dyDescent="0.2">
      <c r="B28" s="11"/>
      <c r="D28" s="78"/>
      <c r="E28" s="10"/>
      <c r="F28" s="22"/>
      <c r="G28" s="11"/>
      <c r="I28" s="92"/>
      <c r="J28" s="22"/>
      <c r="K28" s="22"/>
    </row>
    <row r="29" spans="1:11" ht="15" customHeight="1" x14ac:dyDescent="0.2">
      <c r="A29" s="26"/>
      <c r="B29" s="82"/>
      <c r="C29" s="83"/>
      <c r="D29" s="84"/>
      <c r="E29" s="98"/>
      <c r="F29" s="27"/>
      <c r="G29" s="82"/>
      <c r="H29" s="26"/>
      <c r="I29" s="95"/>
      <c r="J29" s="22"/>
      <c r="K29" s="22"/>
    </row>
    <row r="30" spans="1:11" ht="15" customHeight="1" x14ac:dyDescent="0.2">
      <c r="D30" s="10"/>
      <c r="E30" s="10"/>
      <c r="F30" s="10"/>
      <c r="I30" s="10"/>
      <c r="J30" s="28"/>
      <c r="K30" s="29"/>
    </row>
    <row r="31" spans="1:11" ht="15" customHeight="1" x14ac:dyDescent="0.2">
      <c r="A31" s="30" t="s">
        <v>110</v>
      </c>
      <c r="D31" s="22">
        <f>SUM(D10:D29)</f>
        <v>1287330.3167420814</v>
      </c>
      <c r="E31" s="10"/>
      <c r="F31" s="22">
        <f>SUM(F10:F29)</f>
        <v>1775000</v>
      </c>
      <c r="I31" s="22">
        <f>SUM(I10:I29)</f>
        <v>9085000</v>
      </c>
      <c r="J31" s="32">
        <f>SUM(J10:J29)</f>
        <v>12147330.316742081</v>
      </c>
      <c r="K31" s="31"/>
    </row>
    <row r="32" spans="1:11" ht="15" customHeight="1" x14ac:dyDescent="0.2">
      <c r="A32" s="30" t="s">
        <v>111</v>
      </c>
      <c r="D32" s="10"/>
      <c r="E32" s="10"/>
      <c r="F32" s="10"/>
      <c r="I32" s="10"/>
      <c r="J32" s="33"/>
      <c r="K32" s="10"/>
    </row>
    <row r="33" spans="1:11" ht="15" customHeight="1" x14ac:dyDescent="0.2">
      <c r="A33" s="30" t="s">
        <v>110</v>
      </c>
      <c r="D33" s="22">
        <f>D31/5</f>
        <v>257466.0633484163</v>
      </c>
      <c r="E33" s="10"/>
      <c r="F33" s="22">
        <f>F31/5</f>
        <v>355000</v>
      </c>
      <c r="I33" s="22">
        <f>I31/5</f>
        <v>1817000</v>
      </c>
      <c r="J33" s="23">
        <f>J31/6</f>
        <v>2024555.0527903468</v>
      </c>
      <c r="K33" s="22"/>
    </row>
    <row r="34" spans="1:11" ht="15" customHeight="1" x14ac:dyDescent="0.2">
      <c r="A34" s="30" t="s">
        <v>112</v>
      </c>
      <c r="D34" s="10"/>
      <c r="E34" s="10"/>
      <c r="F34" s="10"/>
      <c r="I34" s="10"/>
      <c r="J34" s="10"/>
      <c r="K34" s="10"/>
    </row>
    <row r="35" spans="1:11" ht="15" customHeight="1" x14ac:dyDescent="0.2"/>
    <row r="36" spans="1:11" ht="15" customHeight="1" x14ac:dyDescent="0.2">
      <c r="G36" s="5"/>
      <c r="H36" s="6"/>
      <c r="K36" s="5"/>
    </row>
    <row r="37" spans="1:11" ht="15" customHeight="1" x14ac:dyDescent="0.2">
      <c r="A37" s="5" t="s">
        <v>113</v>
      </c>
      <c r="D37" s="34">
        <f>D20/C20</f>
        <v>1131.2217194570135</v>
      </c>
      <c r="G37" s="5"/>
      <c r="H37" s="6"/>
      <c r="K37" s="5"/>
    </row>
    <row r="38" spans="1:11" ht="15" customHeight="1" x14ac:dyDescent="0.2">
      <c r="G38" s="5"/>
      <c r="H38" s="6"/>
      <c r="K38" s="5"/>
    </row>
    <row r="39" spans="1:11" ht="15" customHeight="1" x14ac:dyDescent="0.2">
      <c r="G39" s="5"/>
      <c r="H39" s="6"/>
      <c r="K39" s="5"/>
    </row>
    <row r="40" spans="1:11" ht="15" customHeight="1" x14ac:dyDescent="0.2">
      <c r="G40" s="5"/>
      <c r="H40" s="6"/>
      <c r="K40" s="5"/>
    </row>
    <row r="41" spans="1:11" ht="15" customHeight="1" x14ac:dyDescent="0.2">
      <c r="G41" s="5"/>
      <c r="H41" s="6"/>
      <c r="K41" s="5"/>
    </row>
    <row r="42" spans="1:11" ht="15" customHeight="1" x14ac:dyDescent="0.2"/>
    <row r="43" spans="1:11" ht="15" customHeight="1" x14ac:dyDescent="0.2"/>
    <row r="44" spans="1:11" ht="15" customHeight="1" x14ac:dyDescent="0.2"/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12" ht="15" customHeight="1" x14ac:dyDescent="0.2"/>
    <row r="513" ht="15" customHeight="1" x14ac:dyDescent="0.2"/>
    <row r="514" ht="15" customHeight="1" x14ac:dyDescent="0.2"/>
    <row r="515" ht="15" customHeight="1" x14ac:dyDescent="0.2"/>
    <row r="516" ht="15" customHeight="1" x14ac:dyDescent="0.2"/>
    <row r="517" ht="15" customHeight="1" x14ac:dyDescent="0.2"/>
    <row r="518" ht="15" customHeight="1" x14ac:dyDescent="0.2"/>
    <row r="519" ht="15" customHeight="1" x14ac:dyDescent="0.2"/>
    <row r="520" ht="15" customHeight="1" x14ac:dyDescent="0.2"/>
    <row r="521" ht="15" customHeight="1" x14ac:dyDescent="0.2"/>
    <row r="522" ht="15" customHeight="1" x14ac:dyDescent="0.2"/>
    <row r="523" ht="15" customHeight="1" x14ac:dyDescent="0.2"/>
    <row r="524" ht="15" customHeight="1" x14ac:dyDescent="0.2"/>
    <row r="525" ht="15" customHeight="1" x14ac:dyDescent="0.2"/>
    <row r="526" ht="15" customHeight="1" x14ac:dyDescent="0.2"/>
    <row r="527" ht="15" customHeight="1" x14ac:dyDescent="0.2"/>
    <row r="528" ht="15" customHeight="1" x14ac:dyDescent="0.2"/>
    <row r="529" ht="15" customHeight="1" x14ac:dyDescent="0.2"/>
    <row r="530" ht="15" customHeight="1" x14ac:dyDescent="0.2"/>
    <row r="531" ht="15" customHeight="1" x14ac:dyDescent="0.2"/>
    <row r="532" ht="15" customHeight="1" x14ac:dyDescent="0.2"/>
    <row r="533" ht="15" customHeight="1" x14ac:dyDescent="0.2"/>
    <row r="534" ht="15" customHeight="1" x14ac:dyDescent="0.2"/>
    <row r="535" ht="15" customHeight="1" x14ac:dyDescent="0.2"/>
    <row r="536" ht="15" customHeight="1" x14ac:dyDescent="0.2"/>
    <row r="537" ht="15" customHeight="1" x14ac:dyDescent="0.2"/>
    <row r="538" ht="15" customHeight="1" x14ac:dyDescent="0.2"/>
    <row r="539" ht="15" customHeight="1" x14ac:dyDescent="0.2"/>
    <row r="540" ht="15" customHeight="1" x14ac:dyDescent="0.2"/>
    <row r="541" ht="15" customHeight="1" x14ac:dyDescent="0.2"/>
    <row r="542" ht="15" customHeight="1" x14ac:dyDescent="0.2"/>
    <row r="543" ht="15" customHeight="1" x14ac:dyDescent="0.2"/>
    <row r="544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</sheetData>
  <mergeCells count="4">
    <mergeCell ref="B7:D7"/>
    <mergeCell ref="E7:F7"/>
    <mergeCell ref="G7:I7"/>
    <mergeCell ref="J7:K7"/>
  </mergeCells>
  <printOptions gridLinesSet="0"/>
  <pageMargins left="0.41" right="0.24" top="0.4" bottom="0.6" header="0.31" footer="0.5"/>
  <pageSetup scale="5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Comms and Signals</vt:lpstr>
      <vt:lpstr>TS Program Est</vt:lpstr>
      <vt:lpstr>6YR Structures</vt:lpstr>
      <vt:lpstr>'6YR Structures'!Print_Area</vt:lpstr>
      <vt:lpstr>Print_Area</vt:lpstr>
      <vt:lpstr>'6YR Structures'!Print_Area_MI</vt:lpstr>
      <vt:lpstr>PRINT_AREA_MI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Grenzke</dc:creator>
  <cp:keywords/>
  <dc:description/>
  <cp:lastModifiedBy>Emily Grenzke</cp:lastModifiedBy>
  <cp:revision/>
  <dcterms:created xsi:type="dcterms:W3CDTF">2026-09-01T16:54:09Z</dcterms:created>
  <dcterms:modified xsi:type="dcterms:W3CDTF">2026-09-08T13:32:52Z</dcterms:modified>
  <cp:category/>
  <cp:contentStatus/>
</cp:coreProperties>
</file>